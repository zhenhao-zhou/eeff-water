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水模型论文材料汇总\作图\density_T\"/>
    </mc:Choice>
  </mc:AlternateContent>
  <xr:revisionPtr revIDLastSave="0" documentId="13_ncr:1_{5A87465A-3574-4F08-9600-13C4A198B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Entry" sheetId="1" r:id="rId1"/>
    <sheet name="Summary_Mean_SEM" sheetId="2" r:id="rId2"/>
    <sheet name="Notes" sheetId="3" r:id="rId3"/>
  </sheets>
  <calcPr calcId="181029"/>
</workbook>
</file>

<file path=xl/calcChain.xml><?xml version="1.0" encoding="utf-8"?>
<calcChain xmlns="http://schemas.openxmlformats.org/spreadsheetml/2006/main">
  <c r="AG15" i="2" l="1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<sst xmlns="http://schemas.openxmlformats.org/spreadsheetml/2006/main" count="120" uniqueCount="33">
  <si>
    <t>Ambient-water density data template (250-340 K)</t>
  </si>
  <si>
    <t>Fill three independent trajectory density values for each model. Unit: g/cm^3</t>
  </si>
  <si>
    <t>Temperature (K)</t>
  </si>
  <si>
    <t>EeFF</t>
  </si>
  <si>
    <t>LEWIS</t>
  </si>
  <si>
    <t>Cheng-MLP</t>
  </si>
  <si>
    <t>DP-H2OPD</t>
  </si>
  <si>
    <t>ANI-1xnr</t>
  </si>
  <si>
    <t>ReaxFF</t>
  </si>
  <si>
    <t>MACE</t>
  </si>
  <si>
    <t>DP-H3O/OH</t>
  </si>
  <si>
    <t>Trajectory 1</t>
  </si>
  <si>
    <t>Trajectory 2</t>
  </si>
  <si>
    <t>Trajectory 3</t>
  </si>
  <si>
    <t>Density summary calculated from three trajectories</t>
  </si>
  <si>
    <t>Mean, Std, SEM and N are formula-driven from Data_Entry. Unit: g/cm^3</t>
  </si>
  <si>
    <t>Mean</t>
  </si>
  <si>
    <t>Std</t>
  </si>
  <si>
    <t>SEM</t>
  </si>
  <si>
    <t>N</t>
  </si>
  <si>
    <t>Field</t>
  </si>
  <si>
    <t>Description</t>
  </si>
  <si>
    <t>Temperature range</t>
  </si>
  <si>
    <t>250 K to 340 K in 10 K increments</t>
  </si>
  <si>
    <t>Unit</t>
  </si>
  <si>
    <t>Density in g/cm^3</t>
  </si>
  <si>
    <t>Trajectory columns</t>
  </si>
  <si>
    <t>Enter three independent trajectory values for each model in Data_Entry.</t>
  </si>
  <si>
    <t>Summary formulas</t>
  </si>
  <si>
    <t>Summary_Mean_SEM automatically calculates Mean, Std, SEM and N from the three trajectory values.</t>
  </si>
  <si>
    <t>Models</t>
  </si>
  <si>
    <t>EeFF, LEWIS, Cheng-MLP, DP-H2OPD, ANI-1xnr, ReaxFF, MACE, DP-H3O/OH</t>
  </si>
  <si>
    <t>-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</si>
</sst>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11" fontId="0" fillId="0" borderId="0" xfId="0" applyNumberForma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selection activeCell="F31" sqref="F31"/>
    </sheetView>
  </sheetViews>
  <sheetFormatPr defaultRowHeight="14.25"/>
  <cols>
    <col min="1" max="1" width="14" customWidth="1"/>
    <col min="2" max="25" width="12" customWidth="1"/>
  </cols>
  <sheetData>
    <row r="1" spans="1:25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1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4" spans="1:25" ht="15">
      <c r="A4" s="9" t="s">
        <v>2</v>
      </c>
      <c r="B4" s="9" t="s">
        <v>3</v>
      </c>
      <c r="C4" s="9"/>
      <c r="D4" s="9"/>
      <c r="E4" s="9" t="s">
        <v>4</v>
      </c>
      <c r="F4" s="9"/>
      <c r="G4" s="9"/>
      <c r="H4" s="9" t="s">
        <v>5</v>
      </c>
      <c r="I4" s="9"/>
      <c r="J4" s="9"/>
      <c r="K4" s="9" t="s">
        <v>6</v>
      </c>
      <c r="L4" s="9"/>
      <c r="M4" s="9"/>
      <c r="N4" s="9" t="s">
        <v>7</v>
      </c>
      <c r="O4" s="9"/>
      <c r="P4" s="9"/>
      <c r="Q4" s="9" t="s">
        <v>8</v>
      </c>
      <c r="R4" s="9"/>
      <c r="S4" s="9"/>
      <c r="T4" s="9" t="s">
        <v>9</v>
      </c>
      <c r="U4" s="9"/>
      <c r="V4" s="9"/>
      <c r="W4" s="9" t="s">
        <v>10</v>
      </c>
      <c r="X4" s="9"/>
      <c r="Y4" s="9"/>
    </row>
    <row r="5" spans="1:25" ht="15">
      <c r="A5" s="9"/>
      <c r="B5" s="1" t="s">
        <v>11</v>
      </c>
      <c r="C5" s="1" t="s">
        <v>12</v>
      </c>
      <c r="D5" s="1" t="s">
        <v>13</v>
      </c>
      <c r="E5" s="1" t="s">
        <v>11</v>
      </c>
      <c r="F5" s="1" t="s">
        <v>12</v>
      </c>
      <c r="G5" s="1" t="s">
        <v>13</v>
      </c>
      <c r="H5" s="1" t="s">
        <v>11</v>
      </c>
      <c r="I5" s="1" t="s">
        <v>12</v>
      </c>
      <c r="J5" s="1" t="s">
        <v>13</v>
      </c>
      <c r="K5" s="1" t="s">
        <v>11</v>
      </c>
      <c r="L5" s="1" t="s">
        <v>12</v>
      </c>
      <c r="M5" s="1" t="s">
        <v>13</v>
      </c>
      <c r="N5" s="1" t="s">
        <v>11</v>
      </c>
      <c r="O5" s="1" t="s">
        <v>12</v>
      </c>
      <c r="P5" s="1" t="s">
        <v>13</v>
      </c>
      <c r="Q5" s="1" t="s">
        <v>11</v>
      </c>
      <c r="R5" s="1" t="s">
        <v>12</v>
      </c>
      <c r="S5" s="1" t="s">
        <v>13</v>
      </c>
      <c r="T5" s="1" t="s">
        <v>11</v>
      </c>
      <c r="U5" s="1" t="s">
        <v>12</v>
      </c>
      <c r="V5" s="1" t="s">
        <v>13</v>
      </c>
      <c r="W5" s="1" t="s">
        <v>11</v>
      </c>
      <c r="X5" s="1" t="s">
        <v>12</v>
      </c>
      <c r="Y5" s="1" t="s">
        <v>13</v>
      </c>
    </row>
    <row r="6" spans="1:25" ht="15">
      <c r="A6" s="2">
        <v>250</v>
      </c>
      <c r="B6" s="3">
        <v>0.98277568617272726</v>
      </c>
      <c r="C6" s="3">
        <v>0.98486217859090897</v>
      </c>
      <c r="D6" s="3">
        <v>0.98325079829999995</v>
      </c>
      <c r="E6" s="3">
        <v>1.0495797237818181</v>
      </c>
      <c r="F6" s="3">
        <v>1.0501902530181817</v>
      </c>
      <c r="G6" s="3">
        <v>1.0493499640090909</v>
      </c>
      <c r="H6">
        <v>0.8707360623</v>
      </c>
      <c r="I6">
        <v>0.86958436890000002</v>
      </c>
      <c r="J6">
        <v>0.86666540749999998</v>
      </c>
      <c r="K6" s="3">
        <v>0.96522821319999996</v>
      </c>
      <c r="L6" s="3">
        <v>0.96499869289999995</v>
      </c>
      <c r="M6" s="3">
        <v>0.9619926244</v>
      </c>
      <c r="N6" s="3" t="s">
        <v>32</v>
      </c>
      <c r="O6" s="3" t="s">
        <v>32</v>
      </c>
      <c r="P6" s="3" t="s">
        <v>32</v>
      </c>
      <c r="Q6" s="6">
        <v>1.0152151109000001</v>
      </c>
      <c r="R6" s="3">
        <v>1.0150883869</v>
      </c>
      <c r="S6" s="3">
        <v>1.0156853831999999</v>
      </c>
      <c r="T6" s="6">
        <v>1.1830580697999999</v>
      </c>
      <c r="U6">
        <v>1.1807190000000001</v>
      </c>
      <c r="V6">
        <v>1.18259</v>
      </c>
      <c r="W6" s="6">
        <v>1.0436030481</v>
      </c>
      <c r="X6" s="3">
        <v>1.0316996356999999</v>
      </c>
      <c r="Y6" s="3">
        <v>1.0330499639999999</v>
      </c>
    </row>
    <row r="7" spans="1:25" ht="15">
      <c r="A7" s="2">
        <v>260</v>
      </c>
      <c r="B7" s="3">
        <v>0.97994712240000004</v>
      </c>
      <c r="C7" s="3">
        <v>0.97995397508181814</v>
      </c>
      <c r="D7" s="3">
        <v>0.97927102971818192</v>
      </c>
      <c r="E7" s="3">
        <v>1.0439127359181819</v>
      </c>
      <c r="F7" s="3">
        <v>1.0450616086636364</v>
      </c>
      <c r="G7" s="3">
        <v>1.0499814177545455</v>
      </c>
      <c r="H7">
        <v>0.8739311971</v>
      </c>
      <c r="I7">
        <v>0.86850233980000002</v>
      </c>
      <c r="J7">
        <v>0.87026746730000004</v>
      </c>
      <c r="K7" s="3">
        <v>0.96819979140000001</v>
      </c>
      <c r="L7" s="3">
        <v>0.96668470959999997</v>
      </c>
      <c r="M7" s="3">
        <v>0.96482865149999997</v>
      </c>
      <c r="N7" s="3" t="s">
        <v>32</v>
      </c>
      <c r="O7" s="3" t="s">
        <v>32</v>
      </c>
      <c r="P7" s="3" t="s">
        <v>32</v>
      </c>
      <c r="Q7" s="6">
        <v>1.0145669754</v>
      </c>
      <c r="R7" s="3">
        <v>1.0143296740000001</v>
      </c>
      <c r="S7" s="3">
        <v>1.0138234257000001</v>
      </c>
      <c r="T7" s="6">
        <v>1.1639085971000001</v>
      </c>
      <c r="U7">
        <v>1.166086</v>
      </c>
      <c r="V7">
        <v>1.1642749999999999</v>
      </c>
      <c r="W7" s="6">
        <v>1.028857382</v>
      </c>
      <c r="X7" s="3">
        <v>1.0376681835999999</v>
      </c>
      <c r="Y7" s="3">
        <v>1.0158904352</v>
      </c>
    </row>
    <row r="8" spans="1:25" ht="15">
      <c r="A8" s="2">
        <v>270</v>
      </c>
      <c r="B8" s="3">
        <v>0.98214086544545443</v>
      </c>
      <c r="C8" s="3">
        <v>0.97915350019090897</v>
      </c>
      <c r="D8" s="3">
        <v>0.98323605065454556</v>
      </c>
      <c r="E8" s="3">
        <v>1.0414110882272729</v>
      </c>
      <c r="F8" s="3">
        <v>1.038243753081818</v>
      </c>
      <c r="G8" s="3">
        <v>1.0405221042272728</v>
      </c>
      <c r="H8">
        <v>0.86796363300000001</v>
      </c>
      <c r="I8">
        <v>0.86815212500000005</v>
      </c>
      <c r="J8">
        <v>0.86642128709999999</v>
      </c>
      <c r="K8" s="3">
        <v>0.96873881230000003</v>
      </c>
      <c r="L8" s="3">
        <v>0.96132968289999998</v>
      </c>
      <c r="M8" s="3">
        <v>0.95755743100000001</v>
      </c>
      <c r="N8" s="3" t="s">
        <v>32</v>
      </c>
      <c r="O8" s="3" t="s">
        <v>32</v>
      </c>
      <c r="P8" s="3" t="s">
        <v>32</v>
      </c>
      <c r="Q8" s="6">
        <v>1.010208263</v>
      </c>
      <c r="R8" s="3">
        <v>1.0107924099000001</v>
      </c>
      <c r="S8" s="3">
        <v>1.0111065988000001</v>
      </c>
      <c r="T8">
        <v>1.149447912793339</v>
      </c>
      <c r="U8">
        <v>1.1520820000000001</v>
      </c>
      <c r="V8">
        <v>1.1501479999999999</v>
      </c>
      <c r="W8" s="6">
        <v>1.0296311627000001</v>
      </c>
      <c r="X8" s="3">
        <v>1.0430750866</v>
      </c>
      <c r="Y8" s="3">
        <v>1.0219345846000001</v>
      </c>
    </row>
    <row r="9" spans="1:25" ht="15">
      <c r="A9" s="2">
        <v>280</v>
      </c>
      <c r="B9" s="3">
        <v>0.98979105002727286</v>
      </c>
      <c r="C9" s="3">
        <v>0.98881381480909103</v>
      </c>
      <c r="D9" s="3">
        <v>0.98802047438181828</v>
      </c>
      <c r="E9" s="3">
        <v>1.0328360460545454</v>
      </c>
      <c r="F9" s="3">
        <v>1.0333338431727273</v>
      </c>
      <c r="G9" s="3">
        <v>1.0349233376727272</v>
      </c>
      <c r="H9">
        <v>0.86746602110000004</v>
      </c>
      <c r="I9">
        <v>0.87002850119999997</v>
      </c>
      <c r="J9">
        <v>0.86575498679999996</v>
      </c>
      <c r="K9" s="3">
        <v>0.97479754289999998</v>
      </c>
      <c r="L9" s="3">
        <v>0.98308893460000002</v>
      </c>
      <c r="M9" s="3">
        <v>0.9775868405</v>
      </c>
      <c r="N9" s="3" t="s">
        <v>32</v>
      </c>
      <c r="O9" s="3" t="s">
        <v>32</v>
      </c>
      <c r="P9" s="3" t="s">
        <v>32</v>
      </c>
      <c r="Q9" s="6">
        <v>1.0087489741</v>
      </c>
      <c r="R9" s="3">
        <v>1.0088143492999999</v>
      </c>
      <c r="S9" s="3">
        <v>1.0095600045999999</v>
      </c>
      <c r="T9" s="6">
        <v>1.1387760849999999</v>
      </c>
      <c r="U9">
        <v>1.139259</v>
      </c>
      <c r="V9">
        <v>1.139438</v>
      </c>
      <c r="W9" s="6">
        <v>1.0406243364000001</v>
      </c>
      <c r="X9" s="3">
        <v>1.0049178926</v>
      </c>
      <c r="Y9" s="3">
        <v>1.0184540956999999</v>
      </c>
    </row>
    <row r="10" spans="1:25" ht="15">
      <c r="A10" s="2">
        <v>290</v>
      </c>
      <c r="B10" s="3">
        <v>0.98890697225454538</v>
      </c>
      <c r="C10" s="3">
        <v>0.98744595880909103</v>
      </c>
      <c r="D10" s="3">
        <v>0.98795306879999989</v>
      </c>
      <c r="E10" s="3">
        <v>1.0266117673090909</v>
      </c>
      <c r="F10" s="3">
        <v>1.0259200784454545</v>
      </c>
      <c r="G10" s="3">
        <v>1.0278478076727273</v>
      </c>
      <c r="H10">
        <v>0.8625749922</v>
      </c>
      <c r="I10">
        <v>0.8678413881</v>
      </c>
      <c r="J10">
        <v>0.86211992329999998</v>
      </c>
      <c r="K10" s="3">
        <v>0.99472064640000002</v>
      </c>
      <c r="L10" s="3">
        <v>0.9910476278</v>
      </c>
      <c r="M10" s="3">
        <v>0.9901086388</v>
      </c>
      <c r="N10" s="3" t="s">
        <v>32</v>
      </c>
      <c r="O10" s="3" t="s">
        <v>32</v>
      </c>
      <c r="P10" s="3" t="s">
        <v>32</v>
      </c>
      <c r="Q10" s="6">
        <v>1.0068836767</v>
      </c>
      <c r="R10" s="3">
        <v>1.0062992318999999</v>
      </c>
      <c r="S10" s="3">
        <v>1.0071816025</v>
      </c>
      <c r="T10" s="6">
        <v>1.1261495807999999</v>
      </c>
      <c r="U10">
        <v>1.1276949999999999</v>
      </c>
      <c r="V10">
        <v>1.1261380000000001</v>
      </c>
      <c r="W10" s="6">
        <v>1.0339397933000001</v>
      </c>
      <c r="X10" s="3">
        <v>1.0213021673</v>
      </c>
      <c r="Y10" s="3">
        <v>1.0147814154999999</v>
      </c>
    </row>
    <row r="11" spans="1:25" ht="15">
      <c r="A11" s="2">
        <v>300</v>
      </c>
      <c r="B11" s="3">
        <v>0.98672026737272733</v>
      </c>
      <c r="C11" s="3">
        <v>0.98669242284545444</v>
      </c>
      <c r="D11" s="3">
        <v>0.98539171617272736</v>
      </c>
      <c r="E11" s="3">
        <v>1.0195483293818182</v>
      </c>
      <c r="F11" s="3">
        <v>1.0198789392272727</v>
      </c>
      <c r="G11" s="3">
        <v>1.0194632167090909</v>
      </c>
      <c r="H11">
        <v>0.85953583249999999</v>
      </c>
      <c r="I11">
        <v>0.86089171369999995</v>
      </c>
      <c r="J11">
        <v>0.86142405290000001</v>
      </c>
      <c r="K11" s="3">
        <v>1.0032507351</v>
      </c>
      <c r="L11" s="3">
        <v>1.0023525433</v>
      </c>
      <c r="M11" s="3">
        <v>0.9990310966</v>
      </c>
      <c r="N11" s="3" t="s">
        <v>32</v>
      </c>
      <c r="O11" s="3" t="s">
        <v>32</v>
      </c>
      <c r="P11" s="3" t="s">
        <v>32</v>
      </c>
      <c r="Q11" s="6">
        <v>1.0035957210999999</v>
      </c>
      <c r="R11" s="3">
        <v>1.0039990378999999</v>
      </c>
      <c r="S11" s="3">
        <v>1.0035725016999999</v>
      </c>
      <c r="T11" s="6">
        <v>1.1144930673</v>
      </c>
      <c r="U11">
        <v>1.1162240000000001</v>
      </c>
      <c r="V11">
        <v>1.115748</v>
      </c>
      <c r="W11" s="6">
        <v>1.0513256139</v>
      </c>
      <c r="X11" s="3">
        <v>1.0452329433000001</v>
      </c>
      <c r="Y11" s="3">
        <v>1.0432979418999999</v>
      </c>
    </row>
    <row r="12" spans="1:25" ht="15">
      <c r="A12" s="2">
        <v>310</v>
      </c>
      <c r="B12" s="3">
        <v>0.98477310984545452</v>
      </c>
      <c r="C12" s="3">
        <v>0.98364278904545444</v>
      </c>
      <c r="D12" s="3">
        <v>0.98345395112727274</v>
      </c>
      <c r="E12" s="3">
        <v>1.0135017431181819</v>
      </c>
      <c r="F12" s="3">
        <v>1.0124262733909093</v>
      </c>
      <c r="G12" s="3">
        <v>1.0160177381181819</v>
      </c>
      <c r="H12">
        <v>0.86182351720000006</v>
      </c>
      <c r="I12">
        <v>0.85762582779999996</v>
      </c>
      <c r="J12">
        <v>0.86009954450000004</v>
      </c>
      <c r="K12" s="3">
        <v>1.0073375659999999</v>
      </c>
      <c r="L12" s="3">
        <v>1.0085557237</v>
      </c>
      <c r="M12" s="3">
        <v>1.0077112179000001</v>
      </c>
      <c r="N12" s="3" t="s">
        <v>32</v>
      </c>
      <c r="O12" s="3" t="s">
        <v>32</v>
      </c>
      <c r="P12" s="3" t="s">
        <v>32</v>
      </c>
      <c r="Q12" s="6">
        <v>1.0010082732000001</v>
      </c>
      <c r="R12" s="3">
        <v>0.99944890519999996</v>
      </c>
      <c r="S12" s="3">
        <v>0.99993131059999996</v>
      </c>
      <c r="T12" s="6">
        <v>1.105393085</v>
      </c>
      <c r="U12">
        <v>1.104365</v>
      </c>
      <c r="V12">
        <v>1.1064560000000001</v>
      </c>
      <c r="W12" s="6">
        <v>1.03518</v>
      </c>
      <c r="X12" s="3">
        <v>1.0385561246999999</v>
      </c>
      <c r="Y12" s="3">
        <v>1.0349424743</v>
      </c>
    </row>
    <row r="13" spans="1:25" ht="15">
      <c r="A13" s="2">
        <v>320</v>
      </c>
      <c r="B13" s="3">
        <v>0.98252165192727281</v>
      </c>
      <c r="C13" s="3">
        <v>0.98091811186363642</v>
      </c>
      <c r="D13" s="3">
        <v>0.98104896400909103</v>
      </c>
      <c r="E13" s="3">
        <v>1.0077145414363635</v>
      </c>
      <c r="F13" s="3">
        <v>1.0068051495272727</v>
      </c>
      <c r="G13" s="3">
        <v>1.0073576021727273</v>
      </c>
      <c r="H13">
        <v>0.85665595589999999</v>
      </c>
      <c r="I13">
        <v>0.8543395198</v>
      </c>
      <c r="J13">
        <v>0.85480730459999998</v>
      </c>
      <c r="K13" s="3">
        <v>1.0108738771000001</v>
      </c>
      <c r="L13" s="3">
        <v>1.0107804342</v>
      </c>
      <c r="M13" s="3">
        <v>1.0105031195</v>
      </c>
      <c r="N13" s="3" t="s">
        <v>32</v>
      </c>
      <c r="O13" s="3" t="s">
        <v>32</v>
      </c>
      <c r="P13" s="3" t="s">
        <v>32</v>
      </c>
      <c r="Q13" s="6">
        <v>0.99593552262999996</v>
      </c>
      <c r="R13" s="3">
        <v>0.99669582810000001</v>
      </c>
      <c r="S13" s="3">
        <v>0.99625593540000001</v>
      </c>
      <c r="T13" s="6">
        <v>1.0946400095</v>
      </c>
      <c r="U13">
        <v>1.0933980000000001</v>
      </c>
      <c r="V13">
        <v>1.094058</v>
      </c>
      <c r="W13" s="6">
        <v>1.0279992437000001</v>
      </c>
      <c r="X13" s="3">
        <v>1.0332407027999999</v>
      </c>
      <c r="Y13" s="3">
        <v>1.0292518682</v>
      </c>
    </row>
    <row r="14" spans="1:25" ht="15">
      <c r="A14" s="2">
        <v>330</v>
      </c>
      <c r="B14" s="3">
        <v>0.97781944892727257</v>
      </c>
      <c r="C14" s="3">
        <v>0.97795379544545458</v>
      </c>
      <c r="D14" s="3">
        <v>0.97897850312727275</v>
      </c>
      <c r="E14" s="3">
        <v>1.0010249116363636</v>
      </c>
      <c r="F14" s="3">
        <v>1.0005300209454546</v>
      </c>
      <c r="G14" s="3">
        <v>1.0017582011181818</v>
      </c>
      <c r="H14">
        <v>0.8472700849</v>
      </c>
      <c r="I14">
        <v>0.84479772659999997</v>
      </c>
      <c r="J14">
        <v>0.84745800549999994</v>
      </c>
      <c r="K14" s="3">
        <v>1.0124763996999999</v>
      </c>
      <c r="L14" s="3">
        <v>1.0125557823</v>
      </c>
      <c r="M14" s="3">
        <v>1.0129910933999999</v>
      </c>
      <c r="N14" s="3" t="s">
        <v>32</v>
      </c>
      <c r="O14" s="3" t="s">
        <v>32</v>
      </c>
      <c r="P14" s="3" t="s">
        <v>32</v>
      </c>
      <c r="Q14" s="6">
        <v>0.99289557564999997</v>
      </c>
      <c r="R14" s="3">
        <v>0.99248843470000003</v>
      </c>
      <c r="S14" s="3">
        <v>0.99105306500000001</v>
      </c>
      <c r="T14" s="6">
        <v>1.0825462286</v>
      </c>
      <c r="U14">
        <v>1.0839160000000001</v>
      </c>
      <c r="V14">
        <v>1.08423</v>
      </c>
      <c r="W14" s="6">
        <v>1.0298398993</v>
      </c>
      <c r="X14" s="3">
        <v>1.0245512314</v>
      </c>
      <c r="Y14" s="3">
        <v>1.0332708795000001</v>
      </c>
    </row>
    <row r="15" spans="1:25" ht="15">
      <c r="A15" s="2">
        <v>340</v>
      </c>
      <c r="B15" s="3">
        <v>0.97525337310000004</v>
      </c>
      <c r="C15" s="3">
        <v>0.97436644690909091</v>
      </c>
      <c r="D15" s="3">
        <v>0.97557196622727271</v>
      </c>
      <c r="E15" s="3">
        <v>0.99401225293636353</v>
      </c>
      <c r="F15" s="3">
        <v>0.99448721541818164</v>
      </c>
      <c r="G15" s="3">
        <v>0.99560665235454526</v>
      </c>
      <c r="H15">
        <v>0.8423199187</v>
      </c>
      <c r="I15">
        <v>0.84371180830000003</v>
      </c>
      <c r="J15">
        <v>0.84041900110000001</v>
      </c>
      <c r="K15" s="3">
        <v>1.0119211695000001</v>
      </c>
      <c r="L15" s="3">
        <v>1.0106986849999999</v>
      </c>
      <c r="M15" s="3">
        <v>1.0119477296999999</v>
      </c>
      <c r="N15" s="3" t="s">
        <v>32</v>
      </c>
      <c r="O15" s="3" t="s">
        <v>32</v>
      </c>
      <c r="P15" s="3" t="s">
        <v>32</v>
      </c>
      <c r="Q15" s="6">
        <v>0.98783436018000004</v>
      </c>
      <c r="R15" s="3">
        <v>0.98817126229999996</v>
      </c>
      <c r="S15" s="3">
        <v>0.988114885</v>
      </c>
      <c r="T15" s="6">
        <v>1.0742973683999999</v>
      </c>
      <c r="U15">
        <v>1.0736330000000001</v>
      </c>
      <c r="V15">
        <v>1.0755459999999999</v>
      </c>
      <c r="W15" s="6">
        <v>1.0375636640999999</v>
      </c>
      <c r="X15" s="3">
        <v>1.0326915748000001</v>
      </c>
      <c r="Y15" s="3">
        <v>1.0232404391000001</v>
      </c>
    </row>
    <row r="24" spans="2:16">
      <c r="B24" s="6"/>
    </row>
    <row r="25" spans="2:16">
      <c r="B25" s="6"/>
      <c r="M25" s="6"/>
      <c r="N25" s="6"/>
      <c r="O25" s="6"/>
      <c r="P25" s="6"/>
    </row>
    <row r="26" spans="2:16">
      <c r="B26" s="6"/>
      <c r="M26" s="6"/>
      <c r="N26" s="6"/>
      <c r="O26" s="6"/>
      <c r="P26" s="6"/>
    </row>
    <row r="27" spans="2:16">
      <c r="B27" s="6"/>
      <c r="N27" s="6"/>
      <c r="O27" s="6"/>
      <c r="P27" s="6"/>
    </row>
    <row r="28" spans="2:16">
      <c r="B28" s="6"/>
      <c r="M28" s="6"/>
      <c r="N28" s="6"/>
      <c r="O28" s="6"/>
      <c r="P28" s="6"/>
    </row>
    <row r="29" spans="2:16">
      <c r="B29" s="6"/>
      <c r="M29" s="6"/>
      <c r="N29" s="6"/>
      <c r="O29" s="6"/>
      <c r="P29" s="6"/>
    </row>
    <row r="30" spans="2:16">
      <c r="B30" s="6"/>
      <c r="M30" s="6"/>
      <c r="N30" s="6"/>
      <c r="O30" s="6"/>
      <c r="P30" s="6"/>
    </row>
    <row r="31" spans="2:16">
      <c r="B31" s="6"/>
      <c r="M31" s="6"/>
      <c r="N31" s="6"/>
      <c r="O31" s="6"/>
      <c r="P31" s="6"/>
    </row>
    <row r="32" spans="2:16">
      <c r="B32" s="6"/>
      <c r="M32" s="6"/>
      <c r="N32" s="6"/>
      <c r="O32" s="6"/>
      <c r="P32" s="6"/>
    </row>
    <row r="33" spans="2:16">
      <c r="B33" s="6"/>
      <c r="M33" s="6"/>
      <c r="N33" s="6"/>
      <c r="O33" s="6"/>
      <c r="P33" s="6"/>
    </row>
    <row r="34" spans="2:16">
      <c r="M34" s="6"/>
      <c r="N34" s="6"/>
      <c r="O34" s="6"/>
      <c r="P34" s="6"/>
    </row>
  </sheetData>
  <mergeCells count="11">
    <mergeCell ref="A1:Y1"/>
    <mergeCell ref="A2:Y2"/>
    <mergeCell ref="A4:A5"/>
    <mergeCell ref="B4:D4"/>
    <mergeCell ref="E4:G4"/>
    <mergeCell ref="H4:J4"/>
    <mergeCell ref="K4:M4"/>
    <mergeCell ref="N4:P4"/>
    <mergeCell ref="Q4:S4"/>
    <mergeCell ref="T4:V4"/>
    <mergeCell ref="W4:Y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5"/>
  <sheetViews>
    <sheetView workbookViewId="0"/>
  </sheetViews>
  <sheetFormatPr defaultRowHeight="14.25"/>
  <cols>
    <col min="1" max="1" width="14" customWidth="1"/>
    <col min="2" max="33" width="10" customWidth="1"/>
  </cols>
  <sheetData>
    <row r="1" spans="1:33" ht="2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21" customHeight="1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4" spans="1:33" ht="15">
      <c r="A4" s="9" t="s">
        <v>2</v>
      </c>
      <c r="B4" s="9" t="s">
        <v>3</v>
      </c>
      <c r="C4" s="9"/>
      <c r="D4" s="9"/>
      <c r="E4" s="9"/>
      <c r="F4" s="9" t="s">
        <v>4</v>
      </c>
      <c r="G4" s="9"/>
      <c r="H4" s="9"/>
      <c r="I4" s="9"/>
      <c r="J4" s="9" t="s">
        <v>5</v>
      </c>
      <c r="K4" s="9"/>
      <c r="L4" s="9"/>
      <c r="M4" s="9"/>
      <c r="N4" s="9" t="s">
        <v>6</v>
      </c>
      <c r="O4" s="9"/>
      <c r="P4" s="9"/>
      <c r="Q4" s="9"/>
      <c r="R4" s="9" t="s">
        <v>7</v>
      </c>
      <c r="S4" s="9"/>
      <c r="T4" s="9"/>
      <c r="U4" s="9"/>
      <c r="V4" s="9" t="s">
        <v>8</v>
      </c>
      <c r="W4" s="9"/>
      <c r="X4" s="9"/>
      <c r="Y4" s="9"/>
      <c r="Z4" s="9" t="s">
        <v>9</v>
      </c>
      <c r="AA4" s="9"/>
      <c r="AB4" s="9"/>
      <c r="AC4" s="9"/>
      <c r="AD4" s="9" t="s">
        <v>10</v>
      </c>
      <c r="AE4" s="9"/>
      <c r="AF4" s="9"/>
      <c r="AG4" s="9"/>
    </row>
    <row r="5" spans="1:33" ht="15">
      <c r="A5" s="9"/>
      <c r="B5" s="1" t="s">
        <v>16</v>
      </c>
      <c r="C5" s="1" t="s">
        <v>17</v>
      </c>
      <c r="D5" s="1" t="s">
        <v>18</v>
      </c>
      <c r="E5" s="1" t="s">
        <v>19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16</v>
      </c>
      <c r="W5" s="1" t="s">
        <v>17</v>
      </c>
      <c r="X5" s="1" t="s">
        <v>18</v>
      </c>
      <c r="Y5" s="1" t="s">
        <v>19</v>
      </c>
      <c r="Z5" s="1" t="s">
        <v>16</v>
      </c>
      <c r="AA5" s="1" t="s">
        <v>17</v>
      </c>
      <c r="AB5" s="1" t="s">
        <v>18</v>
      </c>
      <c r="AC5" s="1" t="s">
        <v>19</v>
      </c>
      <c r="AD5" s="1" t="s">
        <v>16</v>
      </c>
      <c r="AE5" s="1" t="s">
        <v>17</v>
      </c>
      <c r="AF5" s="1" t="s">
        <v>18</v>
      </c>
      <c r="AG5" s="1" t="s">
        <v>19</v>
      </c>
    </row>
    <row r="6" spans="1:33" ht="15">
      <c r="A6" s="2">
        <v>250</v>
      </c>
      <c r="B6" s="3">
        <f>IF(COUNT(Data_Entry!B6:D6)=0,"",AVERAGE(Data_Entry!B6:D6))</f>
        <v>0.98362955435454535</v>
      </c>
      <c r="C6" s="3" t="e">
        <f ca="1">IF(COUNT(Data_Entry!B6:D6)&lt;2,"",_xludf.STDEV.S(Data_Entry!B6:D6))</f>
        <v>#NAME?</v>
      </c>
      <c r="D6" s="3" t="e">
        <f ca="1">IF(COUNT(Data_Entry!B6:D6)&lt;2,"",_xludf.STDEV.S(Data_Entry!B6:D6)/SQRT(COUNT(Data_Entry!B6:D6)))</f>
        <v>#NAME?</v>
      </c>
      <c r="E6" s="3">
        <f>COUNT(Data_Entry!B6:D6)</f>
        <v>3</v>
      </c>
      <c r="F6" s="3">
        <f>IF(COUNT(Data_Entry!E6:G6)=0,"",AVERAGE(Data_Entry!E6:G6))</f>
        <v>1.0497066469363636</v>
      </c>
      <c r="G6" s="3" t="e">
        <f ca="1">IF(COUNT(Data_Entry!E6:G6)&lt;2,"",_xludf.STDEV.S(Data_Entry!E6:G6))</f>
        <v>#NAME?</v>
      </c>
      <c r="H6" s="3" t="e">
        <f ca="1">IF(COUNT(Data_Entry!E6:G6)&lt;2,"",_xludf.STDEV.S(Data_Entry!E6:G6)/SQRT(COUNT(Data_Entry!E6:G6)))</f>
        <v>#NAME?</v>
      </c>
      <c r="I6" s="3">
        <f>COUNT(Data_Entry!E6:G6)</f>
        <v>3</v>
      </c>
      <c r="J6" s="3">
        <f>IF(COUNT(Data_Entry!H6:J6)=0,"",AVERAGE(Data_Entry!H6:J6))</f>
        <v>0.86899527956666667</v>
      </c>
      <c r="K6" s="3" t="e">
        <f ca="1">IF(COUNT(Data_Entry!H6:J6)&lt;2,"",_xludf.STDEV.S(Data_Entry!H6:J6))</f>
        <v>#NAME?</v>
      </c>
      <c r="L6" s="3" t="e">
        <f ca="1">IF(COUNT(Data_Entry!H6:J6)&lt;2,"",_xludf.STDEV.S(Data_Entry!H6:J6)/SQRT(COUNT(Data_Entry!H6:J6)))</f>
        <v>#NAME?</v>
      </c>
      <c r="M6" s="3">
        <f>COUNT(Data_Entry!H6:J6)</f>
        <v>3</v>
      </c>
      <c r="N6" s="3">
        <f>IF(COUNT(Data_Entry!K6:M6)=0,"",AVERAGE(Data_Entry!K6:M6))</f>
        <v>0.96407317683333327</v>
      </c>
      <c r="O6" s="3" t="e">
        <f ca="1">IF(COUNT(Data_Entry!K6:M6)&lt;2,"",_xludf.STDEV.S(Data_Entry!K6:M6))</f>
        <v>#NAME?</v>
      </c>
      <c r="P6" s="3" t="e">
        <f ca="1">IF(COUNT(Data_Entry!K6:M6)&lt;2,"",_xludf.STDEV.S(Data_Entry!K6:M6)/SQRT(COUNT(Data_Entry!K6:M6)))</f>
        <v>#NAME?</v>
      </c>
      <c r="Q6" s="3">
        <f>COUNT(Data_Entry!K6:M6)</f>
        <v>3</v>
      </c>
      <c r="R6" s="3" t="str">
        <f>IF(COUNT(Data_Entry!N6:P6)=0,"",AVERAGE(Data_Entry!N6:P6))</f>
        <v/>
      </c>
      <c r="S6" s="3" t="str">
        <f>IF(COUNT(Data_Entry!N6:P6)&lt;2,"",_xludf.STDEV.S(Data_Entry!N6:P6))</f>
        <v/>
      </c>
      <c r="T6" s="3" t="str">
        <f>IF(COUNT(Data_Entry!N6:P6)&lt;2,"",_xludf.STDEV.S(Data_Entry!N6:P6)/SQRT(COUNT(Data_Entry!N6:P6)))</f>
        <v/>
      </c>
      <c r="U6" s="3">
        <f>COUNT(Data_Entry!N6:P6)</f>
        <v>0</v>
      </c>
      <c r="V6" s="3">
        <f>IF(COUNT(Data_Entry!Q6:S6)=0,"",AVERAGE(Data_Entry!Q6:S6))</f>
        <v>1.0153296270000001</v>
      </c>
      <c r="W6" s="3" t="e">
        <f ca="1">IF(COUNT(Data_Entry!Q6:S6)&lt;2,"",_xludf.STDEV.S(Data_Entry!Q6:S6))</f>
        <v>#NAME?</v>
      </c>
      <c r="X6" s="3" t="e">
        <f ca="1">IF(COUNT(Data_Entry!Q6:S6)&lt;2,"",_xludf.STDEV.S(Data_Entry!Q6:S6)/SQRT(COUNT(Data_Entry!Q6:S6)))</f>
        <v>#NAME?</v>
      </c>
      <c r="Y6" s="3">
        <f>COUNT(Data_Entry!Q6:S6)</f>
        <v>3</v>
      </c>
      <c r="Z6" s="3">
        <f>IF(COUNT(Data_Entry!T6:V6)=0,"",AVERAGE(Data_Entry!T6:V6))</f>
        <v>1.1821223566000001</v>
      </c>
      <c r="AA6" s="3" t="e">
        <f ca="1">IF(COUNT(Data_Entry!T6:V6)&lt;2,"",_xludf.STDEV.S(Data_Entry!T6:V6))</f>
        <v>#NAME?</v>
      </c>
      <c r="AB6" s="3" t="e">
        <f ca="1">IF(COUNT(Data_Entry!T6:V6)&lt;2,"",_xludf.STDEV.S(Data_Entry!T6:V6)/SQRT(COUNT(Data_Entry!T6:V6)))</f>
        <v>#NAME?</v>
      </c>
      <c r="AC6" s="3">
        <f>COUNT(Data_Entry!T6:V6)</f>
        <v>3</v>
      </c>
      <c r="AD6" s="3">
        <f>IF(COUNT(Data_Entry!W6:Y6)=0,"",AVERAGE(Data_Entry!W6:Y6))</f>
        <v>1.0361175492666665</v>
      </c>
      <c r="AE6" s="3" t="e">
        <f ca="1">IF(COUNT(Data_Entry!W6:Y6)&lt;2,"",_xludf.STDEV.S(Data_Entry!W6:Y6))</f>
        <v>#NAME?</v>
      </c>
      <c r="AF6" s="3" t="e">
        <f ca="1">IF(COUNT(Data_Entry!W6:Y6)&lt;2,"",_xludf.STDEV.S(Data_Entry!W6:Y6)/SQRT(COUNT(Data_Entry!W6:Y6)))</f>
        <v>#NAME?</v>
      </c>
      <c r="AG6" s="3">
        <f>COUNT(Data_Entry!W6:Y6)</f>
        <v>3</v>
      </c>
    </row>
    <row r="7" spans="1:33" ht="15">
      <c r="A7" s="2">
        <v>260</v>
      </c>
      <c r="B7" s="3">
        <f>IF(COUNT(Data_Entry!B7:D7)=0,"",AVERAGE(Data_Entry!B7:D7))</f>
        <v>0.97972404239999999</v>
      </c>
      <c r="C7" s="3" t="e">
        <f ca="1">IF(COUNT(Data_Entry!B7:D7)&lt;2,"",_xludf.STDEV.S(Data_Entry!B7:D7))</f>
        <v>#NAME?</v>
      </c>
      <c r="D7" s="3" t="e">
        <f ca="1">IF(COUNT(Data_Entry!B7:D7)&lt;2,"",_xludf.STDEV.S(Data_Entry!B7:D7)/SQRT(COUNT(Data_Entry!B7:D7)))</f>
        <v>#NAME?</v>
      </c>
      <c r="E7" s="3">
        <f>COUNT(Data_Entry!B7:D7)</f>
        <v>3</v>
      </c>
      <c r="F7" s="3">
        <f>IF(COUNT(Data_Entry!E7:G7)=0,"",AVERAGE(Data_Entry!E7:G7))</f>
        <v>1.0463185874454546</v>
      </c>
      <c r="G7" s="3" t="e">
        <f ca="1">IF(COUNT(Data_Entry!E7:G7)&lt;2,"",_xludf.STDEV.S(Data_Entry!E7:G7))</f>
        <v>#NAME?</v>
      </c>
      <c r="H7" s="3" t="e">
        <f ca="1">IF(COUNT(Data_Entry!E7:G7)&lt;2,"",_xludf.STDEV.S(Data_Entry!E7:G7)/SQRT(COUNT(Data_Entry!E7:G7)))</f>
        <v>#NAME?</v>
      </c>
      <c r="I7" s="3">
        <f>COUNT(Data_Entry!E7:G7)</f>
        <v>3</v>
      </c>
      <c r="J7" s="3">
        <f>IF(COUNT(Data_Entry!H7:J7)=0,"",AVERAGE(Data_Entry!H7:J7))</f>
        <v>0.87090033473333339</v>
      </c>
      <c r="K7" s="3" t="e">
        <f ca="1">IF(COUNT(Data_Entry!H7:J7)&lt;2,"",_xludf.STDEV.S(Data_Entry!H7:J7))</f>
        <v>#NAME?</v>
      </c>
      <c r="L7" s="3" t="e">
        <f ca="1">IF(COUNT(Data_Entry!H7:J7)&lt;2,"",_xludf.STDEV.S(Data_Entry!H7:J7)/SQRT(COUNT(Data_Entry!H7:J7)))</f>
        <v>#NAME?</v>
      </c>
      <c r="M7" s="3">
        <f>COUNT(Data_Entry!H7:J7)</f>
        <v>3</v>
      </c>
      <c r="N7" s="3">
        <f>IF(COUNT(Data_Entry!K7:M7)=0,"",AVERAGE(Data_Entry!K7:M7))</f>
        <v>0.96657105083333328</v>
      </c>
      <c r="O7" s="3" t="e">
        <f ca="1">IF(COUNT(Data_Entry!K7:M7)&lt;2,"",_xludf.STDEV.S(Data_Entry!K7:M7))</f>
        <v>#NAME?</v>
      </c>
      <c r="P7" s="3" t="e">
        <f ca="1">IF(COUNT(Data_Entry!K7:M7)&lt;2,"",_xludf.STDEV.S(Data_Entry!K7:M7)/SQRT(COUNT(Data_Entry!K7:M7)))</f>
        <v>#NAME?</v>
      </c>
      <c r="Q7" s="3">
        <f>COUNT(Data_Entry!K7:M7)</f>
        <v>3</v>
      </c>
      <c r="R7" s="3" t="str">
        <f>IF(COUNT(Data_Entry!N7:P7)=0,"",AVERAGE(Data_Entry!N7:P7))</f>
        <v/>
      </c>
      <c r="S7" s="3" t="str">
        <f>IF(COUNT(Data_Entry!N7:P7)&lt;2,"",_xludf.STDEV.S(Data_Entry!N7:P7))</f>
        <v/>
      </c>
      <c r="T7" s="3" t="str">
        <f>IF(COUNT(Data_Entry!N7:P7)&lt;2,"",_xludf.STDEV.S(Data_Entry!N7:P7)/SQRT(COUNT(Data_Entry!N7:P7)))</f>
        <v/>
      </c>
      <c r="U7" s="3">
        <f>COUNT(Data_Entry!N7:P7)</f>
        <v>0</v>
      </c>
      <c r="V7" s="3">
        <f>IF(COUNT(Data_Entry!Q7:S7)=0,"",AVERAGE(Data_Entry!Q7:S7))</f>
        <v>1.0142400250333334</v>
      </c>
      <c r="W7" s="3" t="e">
        <f ca="1">IF(COUNT(Data_Entry!Q7:S7)&lt;2,"",_xludf.STDEV.S(Data_Entry!Q7:S7))</f>
        <v>#NAME?</v>
      </c>
      <c r="X7" s="3" t="e">
        <f ca="1">IF(COUNT(Data_Entry!Q7:S7)&lt;2,"",_xludf.STDEV.S(Data_Entry!Q7:S7)/SQRT(COUNT(Data_Entry!Q7:S7)))</f>
        <v>#NAME?</v>
      </c>
      <c r="Y7" s="3">
        <f>COUNT(Data_Entry!Q7:S7)</f>
        <v>3</v>
      </c>
      <c r="Z7" s="3">
        <f>IF(COUNT(Data_Entry!T7:V7)=0,"",AVERAGE(Data_Entry!T7:V7))</f>
        <v>1.1647565323666667</v>
      </c>
      <c r="AA7" s="3" t="e">
        <f ca="1">IF(COUNT(Data_Entry!T7:V7)&lt;2,"",_xludf.STDEV.S(Data_Entry!T7:V7))</f>
        <v>#NAME?</v>
      </c>
      <c r="AB7" s="3" t="e">
        <f ca="1">IF(COUNT(Data_Entry!T7:V7)&lt;2,"",_xludf.STDEV.S(Data_Entry!T7:V7)/SQRT(COUNT(Data_Entry!T7:V7)))</f>
        <v>#NAME?</v>
      </c>
      <c r="AC7" s="3">
        <f>COUNT(Data_Entry!T7:V7)</f>
        <v>3</v>
      </c>
      <c r="AD7" s="3">
        <f>IF(COUNT(Data_Entry!W7:Y7)=0,"",AVERAGE(Data_Entry!W7:Y7))</f>
        <v>1.0274720002666669</v>
      </c>
      <c r="AE7" s="3" t="e">
        <f ca="1">IF(COUNT(Data_Entry!W7:Y7)&lt;2,"",_xludf.STDEV.S(Data_Entry!W7:Y7))</f>
        <v>#NAME?</v>
      </c>
      <c r="AF7" s="3" t="e">
        <f ca="1">IF(COUNT(Data_Entry!W7:Y7)&lt;2,"",_xludf.STDEV.S(Data_Entry!W7:Y7)/SQRT(COUNT(Data_Entry!W7:Y7)))</f>
        <v>#NAME?</v>
      </c>
      <c r="AG7" s="3">
        <f>COUNT(Data_Entry!W7:Y7)</f>
        <v>3</v>
      </c>
    </row>
    <row r="8" spans="1:33" ht="15">
      <c r="A8" s="2">
        <v>270</v>
      </c>
      <c r="B8" s="3">
        <f>IF(COUNT(Data_Entry!B8:D8)=0,"",AVERAGE(Data_Entry!B8:D8))</f>
        <v>0.98151013876363635</v>
      </c>
      <c r="C8" s="3" t="e">
        <f ca="1">IF(COUNT(Data_Entry!B8:D8)&lt;2,"",_xludf.STDEV.S(Data_Entry!B8:D8))</f>
        <v>#NAME?</v>
      </c>
      <c r="D8" s="3" t="e">
        <f ca="1">IF(COUNT(Data_Entry!B8:D8)&lt;2,"",_xludf.STDEV.S(Data_Entry!B8:D8)/SQRT(COUNT(Data_Entry!B8:D8)))</f>
        <v>#NAME?</v>
      </c>
      <c r="E8" s="3">
        <f>COUNT(Data_Entry!B8:D8)</f>
        <v>3</v>
      </c>
      <c r="F8" s="3">
        <f>IF(COUNT(Data_Entry!E8:G8)=0,"",AVERAGE(Data_Entry!E8:G8))</f>
        <v>1.0400589818454546</v>
      </c>
      <c r="G8" s="3" t="e">
        <f ca="1">IF(COUNT(Data_Entry!E8:G8)&lt;2,"",_xludf.STDEV.S(Data_Entry!E8:G8))</f>
        <v>#NAME?</v>
      </c>
      <c r="H8" s="3" t="e">
        <f ca="1">IF(COUNT(Data_Entry!E8:G8)&lt;2,"",_xludf.STDEV.S(Data_Entry!E8:G8)/SQRT(COUNT(Data_Entry!E8:G8)))</f>
        <v>#NAME?</v>
      </c>
      <c r="I8" s="3">
        <f>COUNT(Data_Entry!E8:G8)</f>
        <v>3</v>
      </c>
      <c r="J8" s="3">
        <f>IF(COUNT(Data_Entry!H8:J8)=0,"",AVERAGE(Data_Entry!H8:J8))</f>
        <v>0.86751234836666669</v>
      </c>
      <c r="K8" s="3" t="e">
        <f ca="1">IF(COUNT(Data_Entry!H8:J8)&lt;2,"",_xludf.STDEV.S(Data_Entry!H8:J8))</f>
        <v>#NAME?</v>
      </c>
      <c r="L8" s="3" t="e">
        <f ca="1">IF(COUNT(Data_Entry!H8:J8)&lt;2,"",_xludf.STDEV.S(Data_Entry!H8:J8)/SQRT(COUNT(Data_Entry!H8:J8)))</f>
        <v>#NAME?</v>
      </c>
      <c r="M8" s="3">
        <f>COUNT(Data_Entry!H8:J8)</f>
        <v>3</v>
      </c>
      <c r="N8" s="3">
        <f>IF(COUNT(Data_Entry!K8:M8)=0,"",AVERAGE(Data_Entry!K8:M8))</f>
        <v>0.96254197540000008</v>
      </c>
      <c r="O8" s="3" t="e">
        <f ca="1">IF(COUNT(Data_Entry!K8:M8)&lt;2,"",_xludf.STDEV.S(Data_Entry!K8:M8))</f>
        <v>#NAME?</v>
      </c>
      <c r="P8" s="3" t="e">
        <f ca="1">IF(COUNT(Data_Entry!K8:M8)&lt;2,"",_xludf.STDEV.S(Data_Entry!K8:M8)/SQRT(COUNT(Data_Entry!K8:M8)))</f>
        <v>#NAME?</v>
      </c>
      <c r="Q8" s="3">
        <f>COUNT(Data_Entry!K8:M8)</f>
        <v>3</v>
      </c>
      <c r="R8" s="3" t="str">
        <f>IF(COUNT(Data_Entry!N8:P8)=0,"",AVERAGE(Data_Entry!N8:P8))</f>
        <v/>
      </c>
      <c r="S8" s="3" t="str">
        <f>IF(COUNT(Data_Entry!N8:P8)&lt;2,"",_xludf.STDEV.S(Data_Entry!N8:P8))</f>
        <v/>
      </c>
      <c r="T8" s="3" t="str">
        <f>IF(COUNT(Data_Entry!N8:P8)&lt;2,"",_xludf.STDEV.S(Data_Entry!N8:P8)/SQRT(COUNT(Data_Entry!N8:P8)))</f>
        <v/>
      </c>
      <c r="U8" s="3">
        <f>COUNT(Data_Entry!N8:P8)</f>
        <v>0</v>
      </c>
      <c r="V8" s="3">
        <f>IF(COUNT(Data_Entry!Q8:S8)=0,"",AVERAGE(Data_Entry!Q8:S8))</f>
        <v>1.0107024239</v>
      </c>
      <c r="W8" s="3" t="e">
        <f ca="1">IF(COUNT(Data_Entry!Q8:S8)&lt;2,"",_xludf.STDEV.S(Data_Entry!Q8:S8))</f>
        <v>#NAME?</v>
      </c>
      <c r="X8" s="3" t="e">
        <f ca="1">IF(COUNT(Data_Entry!Q8:S8)&lt;2,"",_xludf.STDEV.S(Data_Entry!Q8:S8)/SQRT(COUNT(Data_Entry!Q8:S8)))</f>
        <v>#NAME?</v>
      </c>
      <c r="Y8" s="3">
        <f>COUNT(Data_Entry!Q8:S8)</f>
        <v>3</v>
      </c>
      <c r="Z8" s="3">
        <f>IF(COUNT(Data_Entry!T8:V8)=0,"",AVERAGE(Data_Entry!T8:V8))</f>
        <v>1.1505593042644462</v>
      </c>
      <c r="AA8" s="3" t="e">
        <f ca="1">IF(COUNT(Data_Entry!T8:V8)&lt;2,"",_xludf.STDEV.S(Data_Entry!T8:V8))</f>
        <v>#NAME?</v>
      </c>
      <c r="AB8" s="3" t="e">
        <f ca="1">IF(COUNT(Data_Entry!T8:V8)&lt;2,"",_xludf.STDEV.S(Data_Entry!T8:V8)/SQRT(COUNT(Data_Entry!T8:V8)))</f>
        <v>#NAME?</v>
      </c>
      <c r="AC8" s="3">
        <f>COUNT(Data_Entry!T8:V8)</f>
        <v>3</v>
      </c>
      <c r="AD8" s="3">
        <f>IF(COUNT(Data_Entry!W8:Y8)=0,"",AVERAGE(Data_Entry!W8:Y8))</f>
        <v>1.0315469446333336</v>
      </c>
      <c r="AE8" s="3" t="e">
        <f ca="1">IF(COUNT(Data_Entry!W8:Y8)&lt;2,"",_xludf.STDEV.S(Data_Entry!W8:Y8))</f>
        <v>#NAME?</v>
      </c>
      <c r="AF8" s="3" t="e">
        <f ca="1">IF(COUNT(Data_Entry!W8:Y8)&lt;2,"",_xludf.STDEV.S(Data_Entry!W8:Y8)/SQRT(COUNT(Data_Entry!W8:Y8)))</f>
        <v>#NAME?</v>
      </c>
      <c r="AG8" s="3">
        <f>COUNT(Data_Entry!W8:Y8)</f>
        <v>3</v>
      </c>
    </row>
    <row r="9" spans="1:33" ht="15">
      <c r="A9" s="2">
        <v>280</v>
      </c>
      <c r="B9" s="3">
        <f>IF(COUNT(Data_Entry!B9:D9)=0,"",AVERAGE(Data_Entry!B9:D9))</f>
        <v>0.98887511307272735</v>
      </c>
      <c r="C9" s="3" t="e">
        <f ca="1">IF(COUNT(Data_Entry!B9:D9)&lt;2,"",_xludf.STDEV.S(Data_Entry!B9:D9))</f>
        <v>#NAME?</v>
      </c>
      <c r="D9" s="3" t="e">
        <f ca="1">IF(COUNT(Data_Entry!B9:D9)&lt;2,"",_xludf.STDEV.S(Data_Entry!B9:D9)/SQRT(COUNT(Data_Entry!B9:D9)))</f>
        <v>#NAME?</v>
      </c>
      <c r="E9" s="3">
        <f>COUNT(Data_Entry!B9:D9)</f>
        <v>3</v>
      </c>
      <c r="F9" s="3">
        <f>IF(COUNT(Data_Entry!E9:G9)=0,"",AVERAGE(Data_Entry!E9:G9))</f>
        <v>1.0336977423</v>
      </c>
      <c r="G9" s="3" t="e">
        <f ca="1">IF(COUNT(Data_Entry!E9:G9)&lt;2,"",_xludf.STDEV.S(Data_Entry!E9:G9))</f>
        <v>#NAME?</v>
      </c>
      <c r="H9" s="3" t="e">
        <f ca="1">IF(COUNT(Data_Entry!E9:G9)&lt;2,"",_xludf.STDEV.S(Data_Entry!E9:G9)/SQRT(COUNT(Data_Entry!E9:G9)))</f>
        <v>#NAME?</v>
      </c>
      <c r="I9" s="3">
        <f>COUNT(Data_Entry!E9:G9)</f>
        <v>3</v>
      </c>
      <c r="J9" s="3">
        <f>IF(COUNT(Data_Entry!H9:J9)=0,"",AVERAGE(Data_Entry!H9:J9))</f>
        <v>0.86774983636666658</v>
      </c>
      <c r="K9" s="3" t="e">
        <f ca="1">IF(COUNT(Data_Entry!H9:J9)&lt;2,"",_xludf.STDEV.S(Data_Entry!H9:J9))</f>
        <v>#NAME?</v>
      </c>
      <c r="L9" s="3" t="e">
        <f ca="1">IF(COUNT(Data_Entry!H9:J9)&lt;2,"",_xludf.STDEV.S(Data_Entry!H9:J9)/SQRT(COUNT(Data_Entry!H9:J9)))</f>
        <v>#NAME?</v>
      </c>
      <c r="M9" s="3">
        <f>COUNT(Data_Entry!H9:J9)</f>
        <v>3</v>
      </c>
      <c r="N9" s="3">
        <f>IF(COUNT(Data_Entry!K9:M9)=0,"",AVERAGE(Data_Entry!K9:M9))</f>
        <v>0.978491106</v>
      </c>
      <c r="O9" s="3" t="e">
        <f ca="1">IF(COUNT(Data_Entry!K9:M9)&lt;2,"",_xludf.STDEV.S(Data_Entry!K9:M9))</f>
        <v>#NAME?</v>
      </c>
      <c r="P9" s="3" t="e">
        <f ca="1">IF(COUNT(Data_Entry!K9:M9)&lt;2,"",_xludf.STDEV.S(Data_Entry!K9:M9)/SQRT(COUNT(Data_Entry!K9:M9)))</f>
        <v>#NAME?</v>
      </c>
      <c r="Q9" s="3">
        <f>COUNT(Data_Entry!K9:M9)</f>
        <v>3</v>
      </c>
      <c r="R9" s="3" t="str">
        <f>IF(COUNT(Data_Entry!N9:P9)=0,"",AVERAGE(Data_Entry!N9:P9))</f>
        <v/>
      </c>
      <c r="S9" s="3" t="str">
        <f>IF(COUNT(Data_Entry!N9:P9)&lt;2,"",_xludf.STDEV.S(Data_Entry!N9:P9))</f>
        <v/>
      </c>
      <c r="T9" s="3" t="str">
        <f>IF(COUNT(Data_Entry!N9:P9)&lt;2,"",_xludf.STDEV.S(Data_Entry!N9:P9)/SQRT(COUNT(Data_Entry!N9:P9)))</f>
        <v/>
      </c>
      <c r="U9" s="3">
        <f>COUNT(Data_Entry!N9:P9)</f>
        <v>0</v>
      </c>
      <c r="V9" s="3">
        <f>IF(COUNT(Data_Entry!Q9:S9)=0,"",AVERAGE(Data_Entry!Q9:S9))</f>
        <v>1.0090411093333334</v>
      </c>
      <c r="W9" s="3" t="e">
        <f ca="1">IF(COUNT(Data_Entry!Q9:S9)&lt;2,"",_xludf.STDEV.S(Data_Entry!Q9:S9))</f>
        <v>#NAME?</v>
      </c>
      <c r="X9" s="3" t="e">
        <f ca="1">IF(COUNT(Data_Entry!Q9:S9)&lt;2,"",_xludf.STDEV.S(Data_Entry!Q9:S9)/SQRT(COUNT(Data_Entry!Q9:S9)))</f>
        <v>#NAME?</v>
      </c>
      <c r="Y9" s="3">
        <f>COUNT(Data_Entry!Q9:S9)</f>
        <v>3</v>
      </c>
      <c r="Z9" s="3">
        <f>IF(COUNT(Data_Entry!T9:V9)=0,"",AVERAGE(Data_Entry!T9:V9))</f>
        <v>1.139157695</v>
      </c>
      <c r="AA9" s="3" t="e">
        <f ca="1">IF(COUNT(Data_Entry!T9:V9)&lt;2,"",_xludf.STDEV.S(Data_Entry!T9:V9))</f>
        <v>#NAME?</v>
      </c>
      <c r="AB9" s="3" t="e">
        <f ca="1">IF(COUNT(Data_Entry!T9:V9)&lt;2,"",_xludf.STDEV.S(Data_Entry!T9:V9)/SQRT(COUNT(Data_Entry!T9:V9)))</f>
        <v>#NAME?</v>
      </c>
      <c r="AC9" s="3">
        <f>COUNT(Data_Entry!T9:V9)</f>
        <v>3</v>
      </c>
      <c r="AD9" s="3">
        <f>IF(COUNT(Data_Entry!W9:Y9)=0,"",AVERAGE(Data_Entry!W9:Y9))</f>
        <v>1.0213321082333333</v>
      </c>
      <c r="AE9" s="3" t="e">
        <f ca="1">IF(COUNT(Data_Entry!W9:Y9)&lt;2,"",_xludf.STDEV.S(Data_Entry!W9:Y9))</f>
        <v>#NAME?</v>
      </c>
      <c r="AF9" s="3" t="e">
        <f ca="1">IF(COUNT(Data_Entry!W9:Y9)&lt;2,"",_xludf.STDEV.S(Data_Entry!W9:Y9)/SQRT(COUNT(Data_Entry!W9:Y9)))</f>
        <v>#NAME?</v>
      </c>
      <c r="AG9" s="3">
        <f>COUNT(Data_Entry!W9:Y9)</f>
        <v>3</v>
      </c>
    </row>
    <row r="10" spans="1:33" ht="15">
      <c r="A10" s="2">
        <v>290</v>
      </c>
      <c r="B10" s="3">
        <f>IF(COUNT(Data_Entry!B10:D10)=0,"",AVERAGE(Data_Entry!B10:D10))</f>
        <v>0.9881019999545454</v>
      </c>
      <c r="C10" s="3" t="e">
        <f ca="1">IF(COUNT(Data_Entry!B10:D10)&lt;2,"",_xludf.STDEV.S(Data_Entry!B10:D10))</f>
        <v>#NAME?</v>
      </c>
      <c r="D10" s="3" t="e">
        <f ca="1">IF(COUNT(Data_Entry!B10:D10)&lt;2,"",_xludf.STDEV.S(Data_Entry!B10:D10)/SQRT(COUNT(Data_Entry!B10:D10)))</f>
        <v>#NAME?</v>
      </c>
      <c r="E10" s="3">
        <f>COUNT(Data_Entry!B10:D10)</f>
        <v>3</v>
      </c>
      <c r="F10" s="3">
        <f>IF(COUNT(Data_Entry!E10:G10)=0,"",AVERAGE(Data_Entry!E10:G10))</f>
        <v>1.0267932178090911</v>
      </c>
      <c r="G10" s="3" t="e">
        <f ca="1">IF(COUNT(Data_Entry!E10:G10)&lt;2,"",_xludf.STDEV.S(Data_Entry!E10:G10))</f>
        <v>#NAME?</v>
      </c>
      <c r="H10" s="3" t="e">
        <f ca="1">IF(COUNT(Data_Entry!E10:G10)&lt;2,"",_xludf.STDEV.S(Data_Entry!E10:G10)/SQRT(COUNT(Data_Entry!E10:G10)))</f>
        <v>#NAME?</v>
      </c>
      <c r="I10" s="3">
        <f>COUNT(Data_Entry!E10:G10)</f>
        <v>3</v>
      </c>
      <c r="J10" s="3">
        <f>IF(COUNT(Data_Entry!H10:J10)=0,"",AVERAGE(Data_Entry!H10:J10))</f>
        <v>0.86417876786666659</v>
      </c>
      <c r="K10" s="3" t="e">
        <f ca="1">IF(COUNT(Data_Entry!H10:J10)&lt;2,"",_xludf.STDEV.S(Data_Entry!H10:J10))</f>
        <v>#NAME?</v>
      </c>
      <c r="L10" s="3" t="e">
        <f ca="1">IF(COUNT(Data_Entry!H10:J10)&lt;2,"",_xludf.STDEV.S(Data_Entry!H10:J10)/SQRT(COUNT(Data_Entry!H10:J10)))</f>
        <v>#NAME?</v>
      </c>
      <c r="M10" s="3">
        <f>COUNT(Data_Entry!H10:J10)</f>
        <v>3</v>
      </c>
      <c r="N10" s="3">
        <f>IF(COUNT(Data_Entry!K10:M10)=0,"",AVERAGE(Data_Entry!K10:M10))</f>
        <v>0.99195897099999997</v>
      </c>
      <c r="O10" s="3" t="e">
        <f ca="1">IF(COUNT(Data_Entry!K10:M10)&lt;2,"",_xludf.STDEV.S(Data_Entry!K10:M10))</f>
        <v>#NAME?</v>
      </c>
      <c r="P10" s="3" t="e">
        <f ca="1">IF(COUNT(Data_Entry!K10:M10)&lt;2,"",_xludf.STDEV.S(Data_Entry!K10:M10)/SQRT(COUNT(Data_Entry!K10:M10)))</f>
        <v>#NAME?</v>
      </c>
      <c r="Q10" s="3">
        <f>COUNT(Data_Entry!K10:M10)</f>
        <v>3</v>
      </c>
      <c r="R10" s="3" t="str">
        <f>IF(COUNT(Data_Entry!N10:P10)=0,"",AVERAGE(Data_Entry!N10:P10))</f>
        <v/>
      </c>
      <c r="S10" s="3" t="str">
        <f>IF(COUNT(Data_Entry!N10:P10)&lt;2,"",_xludf.STDEV.S(Data_Entry!N10:P10))</f>
        <v/>
      </c>
      <c r="T10" s="3" t="str">
        <f>IF(COUNT(Data_Entry!N10:P10)&lt;2,"",_xludf.STDEV.S(Data_Entry!N10:P10)/SQRT(COUNT(Data_Entry!N10:P10)))</f>
        <v/>
      </c>
      <c r="U10" s="3">
        <f>COUNT(Data_Entry!N10:P10)</f>
        <v>0</v>
      </c>
      <c r="V10" s="3">
        <f>IF(COUNT(Data_Entry!Q10:S10)=0,"",AVERAGE(Data_Entry!Q10:S10))</f>
        <v>1.0067881703666668</v>
      </c>
      <c r="W10" s="3" t="e">
        <f ca="1">IF(COUNT(Data_Entry!Q10:S10)&lt;2,"",_xludf.STDEV.S(Data_Entry!Q10:S10))</f>
        <v>#NAME?</v>
      </c>
      <c r="X10" s="3" t="e">
        <f ca="1">IF(COUNT(Data_Entry!Q10:S10)&lt;2,"",_xludf.STDEV.S(Data_Entry!Q10:S10)/SQRT(COUNT(Data_Entry!Q10:S10)))</f>
        <v>#NAME?</v>
      </c>
      <c r="Y10" s="3">
        <f>COUNT(Data_Entry!Q10:S10)</f>
        <v>3</v>
      </c>
      <c r="Z10" s="3">
        <f>IF(COUNT(Data_Entry!T10:V10)=0,"",AVERAGE(Data_Entry!T10:V10))</f>
        <v>1.1266608602666668</v>
      </c>
      <c r="AA10" s="3" t="e">
        <f ca="1">IF(COUNT(Data_Entry!T10:V10)&lt;2,"",_xludf.STDEV.S(Data_Entry!T10:V10))</f>
        <v>#NAME?</v>
      </c>
      <c r="AB10" s="3" t="e">
        <f ca="1">IF(COUNT(Data_Entry!T10:V10)&lt;2,"",_xludf.STDEV.S(Data_Entry!T10:V10)/SQRT(COUNT(Data_Entry!T10:V10)))</f>
        <v>#NAME?</v>
      </c>
      <c r="AC10" s="3">
        <f>COUNT(Data_Entry!T10:V10)</f>
        <v>3</v>
      </c>
      <c r="AD10" s="3">
        <f>IF(COUNT(Data_Entry!W10:Y10)=0,"",AVERAGE(Data_Entry!W10:Y10))</f>
        <v>1.0233411253666667</v>
      </c>
      <c r="AE10" s="3" t="e">
        <f ca="1">IF(COUNT(Data_Entry!W10:Y10)&lt;2,"",_xludf.STDEV.S(Data_Entry!W10:Y10))</f>
        <v>#NAME?</v>
      </c>
      <c r="AF10" s="3" t="e">
        <f ca="1">IF(COUNT(Data_Entry!W10:Y10)&lt;2,"",_xludf.STDEV.S(Data_Entry!W10:Y10)/SQRT(COUNT(Data_Entry!W10:Y10)))</f>
        <v>#NAME?</v>
      </c>
      <c r="AG10" s="3">
        <f>COUNT(Data_Entry!W10:Y10)</f>
        <v>3</v>
      </c>
    </row>
    <row r="11" spans="1:33" ht="15">
      <c r="A11" s="2">
        <v>300</v>
      </c>
      <c r="B11" s="3">
        <f>IF(COUNT(Data_Entry!B11:D11)=0,"",AVERAGE(Data_Entry!B11:D11))</f>
        <v>0.98626813546363634</v>
      </c>
      <c r="C11" s="3" t="e">
        <f ca="1">IF(COUNT(Data_Entry!B11:D11)&lt;2,"",_xludf.STDEV.S(Data_Entry!B11:D11))</f>
        <v>#NAME?</v>
      </c>
      <c r="D11" s="3" t="e">
        <f ca="1">IF(COUNT(Data_Entry!B11:D11)&lt;2,"",_xludf.STDEV.S(Data_Entry!B11:D11)/SQRT(COUNT(Data_Entry!B11:D11)))</f>
        <v>#NAME?</v>
      </c>
      <c r="E11" s="3">
        <f>COUNT(Data_Entry!B11:D11)</f>
        <v>3</v>
      </c>
      <c r="F11" s="3">
        <f>IF(COUNT(Data_Entry!E11:G11)=0,"",AVERAGE(Data_Entry!E11:G11))</f>
        <v>1.0196301617727273</v>
      </c>
      <c r="G11" s="3" t="e">
        <f ca="1">IF(COUNT(Data_Entry!E11:G11)&lt;2,"",_xludf.STDEV.S(Data_Entry!E11:G11))</f>
        <v>#NAME?</v>
      </c>
      <c r="H11" s="3" t="e">
        <f ca="1">IF(COUNT(Data_Entry!E11:G11)&lt;2,"",_xludf.STDEV.S(Data_Entry!E11:G11)/SQRT(COUNT(Data_Entry!E11:G11)))</f>
        <v>#NAME?</v>
      </c>
      <c r="I11" s="3">
        <f>COUNT(Data_Entry!E11:G11)</f>
        <v>3</v>
      </c>
      <c r="J11" s="3">
        <f>IF(COUNT(Data_Entry!H11:J11)=0,"",AVERAGE(Data_Entry!H11:J11))</f>
        <v>0.86061719969999995</v>
      </c>
      <c r="K11" s="3" t="e">
        <f ca="1">IF(COUNT(Data_Entry!H11:J11)&lt;2,"",_xludf.STDEV.S(Data_Entry!H11:J11))</f>
        <v>#NAME?</v>
      </c>
      <c r="L11" s="3" t="e">
        <f ca="1">IF(COUNT(Data_Entry!H11:J11)&lt;2,"",_xludf.STDEV.S(Data_Entry!H11:J11)/SQRT(COUNT(Data_Entry!H11:J11)))</f>
        <v>#NAME?</v>
      </c>
      <c r="M11" s="3">
        <f>COUNT(Data_Entry!H11:J11)</f>
        <v>3</v>
      </c>
      <c r="N11" s="3">
        <f>IF(COUNT(Data_Entry!K11:M11)=0,"",AVERAGE(Data_Entry!K11:M11))</f>
        <v>1.0015447916666667</v>
      </c>
      <c r="O11" s="3" t="e">
        <f ca="1">IF(COUNT(Data_Entry!K11:M11)&lt;2,"",_xludf.STDEV.S(Data_Entry!K11:M11))</f>
        <v>#NAME?</v>
      </c>
      <c r="P11" s="3" t="e">
        <f ca="1">IF(COUNT(Data_Entry!K11:M11)&lt;2,"",_xludf.STDEV.S(Data_Entry!K11:M11)/SQRT(COUNT(Data_Entry!K11:M11)))</f>
        <v>#NAME?</v>
      </c>
      <c r="Q11" s="3">
        <f>COUNT(Data_Entry!K11:M11)</f>
        <v>3</v>
      </c>
      <c r="R11" s="3" t="str">
        <f>IF(COUNT(Data_Entry!N11:P11)=0,"",AVERAGE(Data_Entry!N11:P11))</f>
        <v/>
      </c>
      <c r="S11" s="3" t="str">
        <f>IF(COUNT(Data_Entry!N11:P11)&lt;2,"",_xludf.STDEV.S(Data_Entry!N11:P11))</f>
        <v/>
      </c>
      <c r="T11" s="3" t="str">
        <f>IF(COUNT(Data_Entry!N11:P11)&lt;2,"",_xludf.STDEV.S(Data_Entry!N11:P11)/SQRT(COUNT(Data_Entry!N11:P11)))</f>
        <v/>
      </c>
      <c r="U11" s="3">
        <f>COUNT(Data_Entry!N11:P11)</f>
        <v>0</v>
      </c>
      <c r="V11" s="3">
        <f>IF(COUNT(Data_Entry!Q11:S11)=0,"",AVERAGE(Data_Entry!Q11:S11))</f>
        <v>1.0037224202333332</v>
      </c>
      <c r="W11" s="3" t="e">
        <f ca="1">IF(COUNT(Data_Entry!Q11:S11)&lt;2,"",_xludf.STDEV.S(Data_Entry!Q11:S11))</f>
        <v>#NAME?</v>
      </c>
      <c r="X11" s="3" t="e">
        <f ca="1">IF(COUNT(Data_Entry!Q11:S11)&lt;2,"",_xludf.STDEV.S(Data_Entry!Q11:S11)/SQRT(COUNT(Data_Entry!Q11:S11)))</f>
        <v>#NAME?</v>
      </c>
      <c r="Y11" s="3">
        <f>COUNT(Data_Entry!Q11:S11)</f>
        <v>3</v>
      </c>
      <c r="Z11" s="3">
        <f>IF(COUNT(Data_Entry!T11:V11)=0,"",AVERAGE(Data_Entry!T11:V11))</f>
        <v>1.1154883557666666</v>
      </c>
      <c r="AA11" s="3" t="e">
        <f ca="1">IF(COUNT(Data_Entry!T11:V11)&lt;2,"",_xludf.STDEV.S(Data_Entry!T11:V11))</f>
        <v>#NAME?</v>
      </c>
      <c r="AB11" s="3" t="e">
        <f ca="1">IF(COUNT(Data_Entry!T11:V11)&lt;2,"",_xludf.STDEV.S(Data_Entry!T11:V11)/SQRT(COUNT(Data_Entry!T11:V11)))</f>
        <v>#NAME?</v>
      </c>
      <c r="AC11" s="3">
        <f>COUNT(Data_Entry!T11:V11)</f>
        <v>3</v>
      </c>
      <c r="AD11" s="3">
        <f>IF(COUNT(Data_Entry!W11:Y11)=0,"",AVERAGE(Data_Entry!W11:Y11))</f>
        <v>1.0466188330333333</v>
      </c>
      <c r="AE11" s="3" t="e">
        <f ca="1">IF(COUNT(Data_Entry!W11:Y11)&lt;2,"",_xludf.STDEV.S(Data_Entry!W11:Y11))</f>
        <v>#NAME?</v>
      </c>
      <c r="AF11" s="3" t="e">
        <f ca="1">IF(COUNT(Data_Entry!W11:Y11)&lt;2,"",_xludf.STDEV.S(Data_Entry!W11:Y11)/SQRT(COUNT(Data_Entry!W11:Y11)))</f>
        <v>#NAME?</v>
      </c>
      <c r="AG11" s="3">
        <f>COUNT(Data_Entry!W11:Y11)</f>
        <v>3</v>
      </c>
    </row>
    <row r="12" spans="1:33" ht="15">
      <c r="A12" s="2">
        <v>310</v>
      </c>
      <c r="B12" s="3">
        <f>IF(COUNT(Data_Entry!B12:D12)=0,"",AVERAGE(Data_Entry!B12:D12))</f>
        <v>0.98395661667272727</v>
      </c>
      <c r="C12" s="3" t="e">
        <f ca="1">IF(COUNT(Data_Entry!B12:D12)&lt;2,"",_xludf.STDEV.S(Data_Entry!B12:D12))</f>
        <v>#NAME?</v>
      </c>
      <c r="D12" s="3" t="e">
        <f ca="1">IF(COUNT(Data_Entry!B12:D12)&lt;2,"",_xludf.STDEV.S(Data_Entry!B12:D12)/SQRT(COUNT(Data_Entry!B12:D12)))</f>
        <v>#NAME?</v>
      </c>
      <c r="E12" s="3">
        <f>COUNT(Data_Entry!B12:D12)</f>
        <v>3</v>
      </c>
      <c r="F12" s="3">
        <f>IF(COUNT(Data_Entry!E12:G12)=0,"",AVERAGE(Data_Entry!E12:G12))</f>
        <v>1.013981918209091</v>
      </c>
      <c r="G12" s="3" t="e">
        <f ca="1">IF(COUNT(Data_Entry!E12:G12)&lt;2,"",_xludf.STDEV.S(Data_Entry!E12:G12))</f>
        <v>#NAME?</v>
      </c>
      <c r="H12" s="3" t="e">
        <f ca="1">IF(COUNT(Data_Entry!E12:G12)&lt;2,"",_xludf.STDEV.S(Data_Entry!E12:G12)/SQRT(COUNT(Data_Entry!E12:G12)))</f>
        <v>#NAME?</v>
      </c>
      <c r="I12" s="3">
        <f>COUNT(Data_Entry!E12:G12)</f>
        <v>3</v>
      </c>
      <c r="J12" s="3">
        <f>IF(COUNT(Data_Entry!H12:J12)=0,"",AVERAGE(Data_Entry!H12:J12))</f>
        <v>0.85984962983333346</v>
      </c>
      <c r="K12" s="3" t="e">
        <f ca="1">IF(COUNT(Data_Entry!H12:J12)&lt;2,"",_xludf.STDEV.S(Data_Entry!H12:J12))</f>
        <v>#NAME?</v>
      </c>
      <c r="L12" s="3" t="e">
        <f ca="1">IF(COUNT(Data_Entry!H12:J12)&lt;2,"",_xludf.STDEV.S(Data_Entry!H12:J12)/SQRT(COUNT(Data_Entry!H12:J12)))</f>
        <v>#NAME?</v>
      </c>
      <c r="M12" s="3">
        <f>COUNT(Data_Entry!H12:J12)</f>
        <v>3</v>
      </c>
      <c r="N12" s="3">
        <f>IF(COUNT(Data_Entry!K12:M12)=0,"",AVERAGE(Data_Entry!K12:M12))</f>
        <v>1.0078681692</v>
      </c>
      <c r="O12" s="3" t="e">
        <f ca="1">IF(COUNT(Data_Entry!K12:M12)&lt;2,"",_xludf.STDEV.S(Data_Entry!K12:M12))</f>
        <v>#NAME?</v>
      </c>
      <c r="P12" s="3" t="e">
        <f ca="1">IF(COUNT(Data_Entry!K12:M12)&lt;2,"",_xludf.STDEV.S(Data_Entry!K12:M12)/SQRT(COUNT(Data_Entry!K12:M12)))</f>
        <v>#NAME?</v>
      </c>
      <c r="Q12" s="3">
        <f>COUNT(Data_Entry!K12:M12)</f>
        <v>3</v>
      </c>
      <c r="R12" s="3" t="str">
        <f>IF(COUNT(Data_Entry!N12:P12)=0,"",AVERAGE(Data_Entry!N12:P12))</f>
        <v/>
      </c>
      <c r="S12" s="3" t="str">
        <f>IF(COUNT(Data_Entry!N12:P12)&lt;2,"",_xludf.STDEV.S(Data_Entry!N12:P12))</f>
        <v/>
      </c>
      <c r="T12" s="3" t="str">
        <f>IF(COUNT(Data_Entry!N12:P12)&lt;2,"",_xludf.STDEV.S(Data_Entry!N12:P12)/SQRT(COUNT(Data_Entry!N12:P12)))</f>
        <v/>
      </c>
      <c r="U12" s="3">
        <f>COUNT(Data_Entry!N12:P12)</f>
        <v>0</v>
      </c>
      <c r="V12" s="3">
        <f>IF(COUNT(Data_Entry!Q12:S12)=0,"",AVERAGE(Data_Entry!Q12:S12))</f>
        <v>1.0001294963333334</v>
      </c>
      <c r="W12" s="3" t="e">
        <f ca="1">IF(COUNT(Data_Entry!Q12:S12)&lt;2,"",_xludf.STDEV.S(Data_Entry!Q12:S12))</f>
        <v>#NAME?</v>
      </c>
      <c r="X12" s="3" t="e">
        <f ca="1">IF(COUNT(Data_Entry!Q12:S12)&lt;2,"",_xludf.STDEV.S(Data_Entry!Q12:S12)/SQRT(COUNT(Data_Entry!Q12:S12)))</f>
        <v>#NAME?</v>
      </c>
      <c r="Y12" s="3">
        <f>COUNT(Data_Entry!Q12:S12)</f>
        <v>3</v>
      </c>
      <c r="Z12" s="3">
        <f>IF(COUNT(Data_Entry!T12:V12)=0,"",AVERAGE(Data_Entry!T12:V12))</f>
        <v>1.105404695</v>
      </c>
      <c r="AA12" s="3" t="e">
        <f ca="1">IF(COUNT(Data_Entry!T12:V12)&lt;2,"",_xludf.STDEV.S(Data_Entry!T12:V12))</f>
        <v>#NAME?</v>
      </c>
      <c r="AB12" s="3" t="e">
        <f ca="1">IF(COUNT(Data_Entry!T12:V12)&lt;2,"",_xludf.STDEV.S(Data_Entry!T12:V12)/SQRT(COUNT(Data_Entry!T12:V12)))</f>
        <v>#NAME?</v>
      </c>
      <c r="AC12" s="3">
        <f>COUNT(Data_Entry!T12:V12)</f>
        <v>3</v>
      </c>
      <c r="AD12" s="3">
        <f>IF(COUNT(Data_Entry!W12:Y12)=0,"",AVERAGE(Data_Entry!W12:Y12))</f>
        <v>1.0362261996666666</v>
      </c>
      <c r="AE12" s="3" t="e">
        <f ca="1">IF(COUNT(Data_Entry!W12:Y12)&lt;2,"",_xludf.STDEV.S(Data_Entry!W12:Y12))</f>
        <v>#NAME?</v>
      </c>
      <c r="AF12" s="3" t="e">
        <f ca="1">IF(COUNT(Data_Entry!W12:Y12)&lt;2,"",_xludf.STDEV.S(Data_Entry!W12:Y12)/SQRT(COUNT(Data_Entry!W12:Y12)))</f>
        <v>#NAME?</v>
      </c>
      <c r="AG12" s="3">
        <f>COUNT(Data_Entry!W12:Y12)</f>
        <v>3</v>
      </c>
    </row>
    <row r="13" spans="1:33" ht="15">
      <c r="A13" s="2">
        <v>320</v>
      </c>
      <c r="B13" s="3">
        <f>IF(COUNT(Data_Entry!B13:D13)=0,"",AVERAGE(Data_Entry!B13:D13))</f>
        <v>0.98149624260000012</v>
      </c>
      <c r="C13" s="3" t="e">
        <f ca="1">IF(COUNT(Data_Entry!B13:D13)&lt;2,"",_xludf.STDEV.S(Data_Entry!B13:D13))</f>
        <v>#NAME?</v>
      </c>
      <c r="D13" s="3" t="e">
        <f ca="1">IF(COUNT(Data_Entry!B13:D13)&lt;2,"",_xludf.STDEV.S(Data_Entry!B13:D13)/SQRT(COUNT(Data_Entry!B13:D13)))</f>
        <v>#NAME?</v>
      </c>
      <c r="E13" s="3">
        <f>COUNT(Data_Entry!B13:D13)</f>
        <v>3</v>
      </c>
      <c r="F13" s="3">
        <f>IF(COUNT(Data_Entry!E13:G13)=0,"",AVERAGE(Data_Entry!E13:G13))</f>
        <v>1.0072924310454547</v>
      </c>
      <c r="G13" s="3" t="e">
        <f ca="1">IF(COUNT(Data_Entry!E13:G13)&lt;2,"",_xludf.STDEV.S(Data_Entry!E13:G13))</f>
        <v>#NAME?</v>
      </c>
      <c r="H13" s="3" t="e">
        <f ca="1">IF(COUNT(Data_Entry!E13:G13)&lt;2,"",_xludf.STDEV.S(Data_Entry!E13:G13)/SQRT(COUNT(Data_Entry!E13:G13)))</f>
        <v>#NAME?</v>
      </c>
      <c r="I13" s="3">
        <f>COUNT(Data_Entry!E13:G13)</f>
        <v>3</v>
      </c>
      <c r="J13" s="3">
        <f>IF(COUNT(Data_Entry!H13:J13)=0,"",AVERAGE(Data_Entry!H13:J13))</f>
        <v>0.85526759343333325</v>
      </c>
      <c r="K13" s="3" t="e">
        <f ca="1">IF(COUNT(Data_Entry!H13:J13)&lt;2,"",_xludf.STDEV.S(Data_Entry!H13:J13))</f>
        <v>#NAME?</v>
      </c>
      <c r="L13" s="3" t="e">
        <f ca="1">IF(COUNT(Data_Entry!H13:J13)&lt;2,"",_xludf.STDEV.S(Data_Entry!H13:J13)/SQRT(COUNT(Data_Entry!H13:J13)))</f>
        <v>#NAME?</v>
      </c>
      <c r="M13" s="3">
        <f>COUNT(Data_Entry!H13:J13)</f>
        <v>3</v>
      </c>
      <c r="N13" s="3">
        <f>IF(COUNT(Data_Entry!K13:M13)=0,"",AVERAGE(Data_Entry!K13:M13))</f>
        <v>1.0107191436</v>
      </c>
      <c r="O13" s="3" t="e">
        <f ca="1">IF(COUNT(Data_Entry!K13:M13)&lt;2,"",_xludf.STDEV.S(Data_Entry!K13:M13))</f>
        <v>#NAME?</v>
      </c>
      <c r="P13" s="3" t="e">
        <f ca="1">IF(COUNT(Data_Entry!K13:M13)&lt;2,"",_xludf.STDEV.S(Data_Entry!K13:M13)/SQRT(COUNT(Data_Entry!K13:M13)))</f>
        <v>#NAME?</v>
      </c>
      <c r="Q13" s="3">
        <f>COUNT(Data_Entry!K13:M13)</f>
        <v>3</v>
      </c>
      <c r="R13" s="3" t="str">
        <f>IF(COUNT(Data_Entry!N13:P13)=0,"",AVERAGE(Data_Entry!N13:P13))</f>
        <v/>
      </c>
      <c r="S13" s="3" t="str">
        <f>IF(COUNT(Data_Entry!N13:P13)&lt;2,"",_xludf.STDEV.S(Data_Entry!N13:P13))</f>
        <v/>
      </c>
      <c r="T13" s="3" t="str">
        <f>IF(COUNT(Data_Entry!N13:P13)&lt;2,"",_xludf.STDEV.S(Data_Entry!N13:P13)/SQRT(COUNT(Data_Entry!N13:P13)))</f>
        <v/>
      </c>
      <c r="U13" s="3">
        <f>COUNT(Data_Entry!N13:P13)</f>
        <v>0</v>
      </c>
      <c r="V13" s="3">
        <f>IF(COUNT(Data_Entry!Q13:S13)=0,"",AVERAGE(Data_Entry!Q13:S13))</f>
        <v>0.99629576204333326</v>
      </c>
      <c r="W13" s="3" t="e">
        <f ca="1">IF(COUNT(Data_Entry!Q13:S13)&lt;2,"",_xludf.STDEV.S(Data_Entry!Q13:S13))</f>
        <v>#NAME?</v>
      </c>
      <c r="X13" s="3" t="e">
        <f ca="1">IF(COUNT(Data_Entry!Q13:S13)&lt;2,"",_xludf.STDEV.S(Data_Entry!Q13:S13)/SQRT(COUNT(Data_Entry!Q13:S13)))</f>
        <v>#NAME?</v>
      </c>
      <c r="Y13" s="3">
        <f>COUNT(Data_Entry!Q13:S13)</f>
        <v>3</v>
      </c>
      <c r="Z13" s="3">
        <f>IF(COUNT(Data_Entry!T13:V13)=0,"",AVERAGE(Data_Entry!T13:V13))</f>
        <v>1.0940320031666666</v>
      </c>
      <c r="AA13" s="3" t="e">
        <f ca="1">IF(COUNT(Data_Entry!T13:V13)&lt;2,"",_xludf.STDEV.S(Data_Entry!T13:V13))</f>
        <v>#NAME?</v>
      </c>
      <c r="AB13" s="3" t="e">
        <f ca="1">IF(COUNT(Data_Entry!T13:V13)&lt;2,"",_xludf.STDEV.S(Data_Entry!T13:V13)/SQRT(COUNT(Data_Entry!T13:V13)))</f>
        <v>#NAME?</v>
      </c>
      <c r="AC13" s="3">
        <f>COUNT(Data_Entry!T13:V13)</f>
        <v>3</v>
      </c>
      <c r="AD13" s="3">
        <f>IF(COUNT(Data_Entry!W13:Y13)=0,"",AVERAGE(Data_Entry!W13:Y13))</f>
        <v>1.0301639382333334</v>
      </c>
      <c r="AE13" s="3" t="e">
        <f ca="1">IF(COUNT(Data_Entry!W13:Y13)&lt;2,"",_xludf.STDEV.S(Data_Entry!W13:Y13))</f>
        <v>#NAME?</v>
      </c>
      <c r="AF13" s="3" t="e">
        <f ca="1">IF(COUNT(Data_Entry!W13:Y13)&lt;2,"",_xludf.STDEV.S(Data_Entry!W13:Y13)/SQRT(COUNT(Data_Entry!W13:Y13)))</f>
        <v>#NAME?</v>
      </c>
      <c r="AG13" s="3">
        <f>COUNT(Data_Entry!W13:Y13)</f>
        <v>3</v>
      </c>
    </row>
    <row r="14" spans="1:33" ht="15">
      <c r="A14" s="2">
        <v>330</v>
      </c>
      <c r="B14" s="3">
        <f>IF(COUNT(Data_Entry!B14:D14)=0,"",AVERAGE(Data_Entry!B14:D14))</f>
        <v>0.97825058249999997</v>
      </c>
      <c r="C14" s="3" t="e">
        <f ca="1">IF(COUNT(Data_Entry!B14:D14)&lt;2,"",_xludf.STDEV.S(Data_Entry!B14:D14))</f>
        <v>#NAME?</v>
      </c>
      <c r="D14" s="3" t="e">
        <f ca="1">IF(COUNT(Data_Entry!B14:D14)&lt;2,"",_xludf.STDEV.S(Data_Entry!B14:D14)/SQRT(COUNT(Data_Entry!B14:D14)))</f>
        <v>#NAME?</v>
      </c>
      <c r="E14" s="3">
        <f>COUNT(Data_Entry!B14:D14)</f>
        <v>3</v>
      </c>
      <c r="F14" s="3">
        <f>IF(COUNT(Data_Entry!E14:G14)=0,"",AVERAGE(Data_Entry!E14:G14))</f>
        <v>1.0011043779000002</v>
      </c>
      <c r="G14" s="3" t="e">
        <f ca="1">IF(COUNT(Data_Entry!E14:G14)&lt;2,"",_xludf.STDEV.S(Data_Entry!E14:G14))</f>
        <v>#NAME?</v>
      </c>
      <c r="H14" s="3" t="e">
        <f ca="1">IF(COUNT(Data_Entry!E14:G14)&lt;2,"",_xludf.STDEV.S(Data_Entry!E14:G14)/SQRT(COUNT(Data_Entry!E14:G14)))</f>
        <v>#NAME?</v>
      </c>
      <c r="I14" s="3">
        <f>COUNT(Data_Entry!E14:G14)</f>
        <v>3</v>
      </c>
      <c r="J14" s="3">
        <f>IF(COUNT(Data_Entry!H14:J14)=0,"",AVERAGE(Data_Entry!H14:J14))</f>
        <v>0.84650860566666664</v>
      </c>
      <c r="K14" s="3" t="e">
        <f ca="1">IF(COUNT(Data_Entry!H14:J14)&lt;2,"",_xludf.STDEV.S(Data_Entry!H14:J14))</f>
        <v>#NAME?</v>
      </c>
      <c r="L14" s="3" t="e">
        <f ca="1">IF(COUNT(Data_Entry!H14:J14)&lt;2,"",_xludf.STDEV.S(Data_Entry!H14:J14)/SQRT(COUNT(Data_Entry!H14:J14)))</f>
        <v>#NAME?</v>
      </c>
      <c r="M14" s="3">
        <f>COUNT(Data_Entry!H14:J14)</f>
        <v>3</v>
      </c>
      <c r="N14" s="3">
        <f>IF(COUNT(Data_Entry!K14:M14)=0,"",AVERAGE(Data_Entry!K14:M14))</f>
        <v>1.0126744251333333</v>
      </c>
      <c r="O14" s="3" t="e">
        <f ca="1">IF(COUNT(Data_Entry!K14:M14)&lt;2,"",_xludf.STDEV.S(Data_Entry!K14:M14))</f>
        <v>#NAME?</v>
      </c>
      <c r="P14" s="3" t="e">
        <f ca="1">IF(COUNT(Data_Entry!K14:M14)&lt;2,"",_xludf.STDEV.S(Data_Entry!K14:M14)/SQRT(COUNT(Data_Entry!K14:M14)))</f>
        <v>#NAME?</v>
      </c>
      <c r="Q14" s="3">
        <f>COUNT(Data_Entry!K14:M14)</f>
        <v>3</v>
      </c>
      <c r="R14" s="3" t="str">
        <f>IF(COUNT(Data_Entry!N14:P14)=0,"",AVERAGE(Data_Entry!N14:P14))</f>
        <v/>
      </c>
      <c r="S14" s="3" t="str">
        <f>IF(COUNT(Data_Entry!N14:P14)&lt;2,"",_xludf.STDEV.S(Data_Entry!N14:P14))</f>
        <v/>
      </c>
      <c r="T14" s="3" t="str">
        <f>IF(COUNT(Data_Entry!N14:P14)&lt;2,"",_xludf.STDEV.S(Data_Entry!N14:P14)/SQRT(COUNT(Data_Entry!N14:P14)))</f>
        <v/>
      </c>
      <c r="U14" s="3">
        <f>COUNT(Data_Entry!N14:P14)</f>
        <v>0</v>
      </c>
      <c r="V14" s="3">
        <f>IF(COUNT(Data_Entry!Q14:S14)=0,"",AVERAGE(Data_Entry!Q14:S14))</f>
        <v>0.99214569178333323</v>
      </c>
      <c r="W14" s="3" t="e">
        <f ca="1">IF(COUNT(Data_Entry!Q14:S14)&lt;2,"",_xludf.STDEV.S(Data_Entry!Q14:S14))</f>
        <v>#NAME?</v>
      </c>
      <c r="X14" s="3" t="e">
        <f ca="1">IF(COUNT(Data_Entry!Q14:S14)&lt;2,"",_xludf.STDEV.S(Data_Entry!Q14:S14)/SQRT(COUNT(Data_Entry!Q14:S14)))</f>
        <v>#NAME?</v>
      </c>
      <c r="Y14" s="3">
        <f>COUNT(Data_Entry!Q14:S14)</f>
        <v>3</v>
      </c>
      <c r="Z14" s="3">
        <f>IF(COUNT(Data_Entry!T14:V14)=0,"",AVERAGE(Data_Entry!T14:V14))</f>
        <v>1.0835640762000001</v>
      </c>
      <c r="AA14" s="3" t="e">
        <f ca="1">IF(COUNT(Data_Entry!T14:V14)&lt;2,"",_xludf.STDEV.S(Data_Entry!T14:V14))</f>
        <v>#NAME?</v>
      </c>
      <c r="AB14" s="3" t="e">
        <f ca="1">IF(COUNT(Data_Entry!T14:V14)&lt;2,"",_xludf.STDEV.S(Data_Entry!T14:V14)/SQRT(COUNT(Data_Entry!T14:V14)))</f>
        <v>#NAME?</v>
      </c>
      <c r="AC14" s="3">
        <f>COUNT(Data_Entry!T14:V14)</f>
        <v>3</v>
      </c>
      <c r="AD14" s="3">
        <f>IF(COUNT(Data_Entry!W14:Y14)=0,"",AVERAGE(Data_Entry!W14:Y14))</f>
        <v>1.0292206700666666</v>
      </c>
      <c r="AE14" s="3" t="e">
        <f ca="1">IF(COUNT(Data_Entry!W14:Y14)&lt;2,"",_xludf.STDEV.S(Data_Entry!W14:Y14))</f>
        <v>#NAME?</v>
      </c>
      <c r="AF14" s="3" t="e">
        <f ca="1">IF(COUNT(Data_Entry!W14:Y14)&lt;2,"",_xludf.STDEV.S(Data_Entry!W14:Y14)/SQRT(COUNT(Data_Entry!W14:Y14)))</f>
        <v>#NAME?</v>
      </c>
      <c r="AG14" s="3">
        <f>COUNT(Data_Entry!W14:Y14)</f>
        <v>3</v>
      </c>
    </row>
    <row r="15" spans="1:33" ht="15">
      <c r="A15" s="2">
        <v>340</v>
      </c>
      <c r="B15" s="3">
        <f>IF(COUNT(Data_Entry!B15:D15)=0,"",AVERAGE(Data_Entry!B15:D15))</f>
        <v>0.97506392874545467</v>
      </c>
      <c r="C15" s="3" t="e">
        <f ca="1">IF(COUNT(Data_Entry!B15:D15)&lt;2,"",_xludf.STDEV.S(Data_Entry!B15:D15))</f>
        <v>#NAME?</v>
      </c>
      <c r="D15" s="3" t="e">
        <f ca="1">IF(COUNT(Data_Entry!B15:D15)&lt;2,"",_xludf.STDEV.S(Data_Entry!B15:D15)/SQRT(COUNT(Data_Entry!B15:D15)))</f>
        <v>#NAME?</v>
      </c>
      <c r="E15" s="3">
        <f>COUNT(Data_Entry!B15:D15)</f>
        <v>3</v>
      </c>
      <c r="F15" s="3">
        <f>IF(COUNT(Data_Entry!E15:G15)=0,"",AVERAGE(Data_Entry!E15:G15))</f>
        <v>0.99470204023636344</v>
      </c>
      <c r="G15" s="3" t="e">
        <f ca="1">IF(COUNT(Data_Entry!E15:G15)&lt;2,"",_xludf.STDEV.S(Data_Entry!E15:G15))</f>
        <v>#NAME?</v>
      </c>
      <c r="H15" s="3" t="e">
        <f ca="1">IF(COUNT(Data_Entry!E15:G15)&lt;2,"",_xludf.STDEV.S(Data_Entry!E15:G15)/SQRT(COUNT(Data_Entry!E15:G15)))</f>
        <v>#NAME?</v>
      </c>
      <c r="I15" s="3">
        <f>COUNT(Data_Entry!E15:G15)</f>
        <v>3</v>
      </c>
      <c r="J15" s="3">
        <f>IF(COUNT(Data_Entry!H15:J15)=0,"",AVERAGE(Data_Entry!H15:J15))</f>
        <v>0.84215024269999994</v>
      </c>
      <c r="K15" s="3" t="e">
        <f ca="1">IF(COUNT(Data_Entry!H15:J15)&lt;2,"",_xludf.STDEV.S(Data_Entry!H15:J15))</f>
        <v>#NAME?</v>
      </c>
      <c r="L15" s="3" t="e">
        <f ca="1">IF(COUNT(Data_Entry!H15:J15)&lt;2,"",_xludf.STDEV.S(Data_Entry!H15:J15)/SQRT(COUNT(Data_Entry!H15:J15)))</f>
        <v>#NAME?</v>
      </c>
      <c r="M15" s="3">
        <f>COUNT(Data_Entry!H15:J15)</f>
        <v>3</v>
      </c>
      <c r="N15" s="3">
        <f>IF(COUNT(Data_Entry!K15:M15)=0,"",AVERAGE(Data_Entry!K15:M15))</f>
        <v>1.0115225280666669</v>
      </c>
      <c r="O15" s="3" t="e">
        <f ca="1">IF(COUNT(Data_Entry!K15:M15)&lt;2,"",_xludf.STDEV.S(Data_Entry!K15:M15))</f>
        <v>#NAME?</v>
      </c>
      <c r="P15" s="3" t="e">
        <f ca="1">IF(COUNT(Data_Entry!K15:M15)&lt;2,"",_xludf.STDEV.S(Data_Entry!K15:M15)/SQRT(COUNT(Data_Entry!K15:M15)))</f>
        <v>#NAME?</v>
      </c>
      <c r="Q15" s="3">
        <f>COUNT(Data_Entry!K15:M15)</f>
        <v>3</v>
      </c>
      <c r="R15" s="3" t="str">
        <f>IF(COUNT(Data_Entry!N15:P15)=0,"",AVERAGE(Data_Entry!N15:P15))</f>
        <v/>
      </c>
      <c r="S15" s="3" t="str">
        <f>IF(COUNT(Data_Entry!N15:P15)&lt;2,"",_xludf.STDEV.S(Data_Entry!N15:P15))</f>
        <v/>
      </c>
      <c r="T15" s="3" t="str">
        <f>IF(COUNT(Data_Entry!N15:P15)&lt;2,"",_xludf.STDEV.S(Data_Entry!N15:P15)/SQRT(COUNT(Data_Entry!N15:P15)))</f>
        <v/>
      </c>
      <c r="U15" s="3">
        <f>COUNT(Data_Entry!N15:P15)</f>
        <v>0</v>
      </c>
      <c r="V15" s="3">
        <f>IF(COUNT(Data_Entry!Q15:S15)=0,"",AVERAGE(Data_Entry!Q15:S15))</f>
        <v>0.98804016916000004</v>
      </c>
      <c r="W15" s="3" t="e">
        <f ca="1">IF(COUNT(Data_Entry!Q15:S15)&lt;2,"",_xludf.STDEV.S(Data_Entry!Q15:S15))</f>
        <v>#NAME?</v>
      </c>
      <c r="X15" s="3" t="e">
        <f ca="1">IF(COUNT(Data_Entry!Q15:S15)&lt;2,"",_xludf.STDEV.S(Data_Entry!Q15:S15)/SQRT(COUNT(Data_Entry!Q15:S15)))</f>
        <v>#NAME?</v>
      </c>
      <c r="Y15" s="3">
        <f>COUNT(Data_Entry!Q15:S15)</f>
        <v>3</v>
      </c>
      <c r="Z15" s="3">
        <f>IF(COUNT(Data_Entry!T15:V15)=0,"",AVERAGE(Data_Entry!T15:V15))</f>
        <v>1.0744921227999999</v>
      </c>
      <c r="AA15" s="3" t="e">
        <f ca="1">IF(COUNT(Data_Entry!T15:V15)&lt;2,"",_xludf.STDEV.S(Data_Entry!T15:V15))</f>
        <v>#NAME?</v>
      </c>
      <c r="AB15" s="3" t="e">
        <f ca="1">IF(COUNT(Data_Entry!T15:V15)&lt;2,"",_xludf.STDEV.S(Data_Entry!T15:V15)/SQRT(COUNT(Data_Entry!T15:V15)))</f>
        <v>#NAME?</v>
      </c>
      <c r="AC15" s="3">
        <f>COUNT(Data_Entry!T15:V15)</f>
        <v>3</v>
      </c>
      <c r="AD15" s="3">
        <f>IF(COUNT(Data_Entry!W15:Y15)=0,"",AVERAGE(Data_Entry!W15:Y15))</f>
        <v>1.0311652259999999</v>
      </c>
      <c r="AE15" s="3" t="e">
        <f ca="1">IF(COUNT(Data_Entry!W15:Y15)&lt;2,"",_xludf.STDEV.S(Data_Entry!W15:Y15))</f>
        <v>#NAME?</v>
      </c>
      <c r="AF15" s="3" t="e">
        <f ca="1">IF(COUNT(Data_Entry!W15:Y15)&lt;2,"",_xludf.STDEV.S(Data_Entry!W15:Y15)/SQRT(COUNT(Data_Entry!W15:Y15)))</f>
        <v>#NAME?</v>
      </c>
      <c r="AG15" s="3">
        <f>COUNT(Data_Entry!W15:Y15)</f>
        <v>3</v>
      </c>
    </row>
  </sheetData>
  <mergeCells count="11">
    <mergeCell ref="A1:AG1"/>
    <mergeCell ref="A2:AG2"/>
    <mergeCell ref="A4:A5"/>
    <mergeCell ref="B4:E4"/>
    <mergeCell ref="F4:I4"/>
    <mergeCell ref="J4:M4"/>
    <mergeCell ref="N4:Q4"/>
    <mergeCell ref="R4:U4"/>
    <mergeCell ref="V4:Y4"/>
    <mergeCell ref="Z4:AC4"/>
    <mergeCell ref="AD4:AG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/>
  <cols>
    <col min="1" max="1" width="32" customWidth="1"/>
    <col min="2" max="2" width="90" customWidth="1"/>
  </cols>
  <sheetData>
    <row r="1" spans="1:2" ht="15">
      <c r="A1" s="4" t="s">
        <v>20</v>
      </c>
      <c r="B1" s="4" t="s">
        <v>21</v>
      </c>
    </row>
    <row r="2" spans="1:2">
      <c r="A2" s="5" t="s">
        <v>22</v>
      </c>
      <c r="B2" s="5" t="s">
        <v>23</v>
      </c>
    </row>
    <row r="3" spans="1:2">
      <c r="A3" s="5" t="s">
        <v>24</v>
      </c>
      <c r="B3" s="5" t="s">
        <v>25</v>
      </c>
    </row>
    <row r="4" spans="1:2">
      <c r="A4" s="5" t="s">
        <v>26</v>
      </c>
      <c r="B4" s="5" t="s">
        <v>27</v>
      </c>
    </row>
    <row r="5" spans="1:2">
      <c r="A5" s="5" t="s">
        <v>28</v>
      </c>
      <c r="B5" s="5" t="s">
        <v>29</v>
      </c>
    </row>
    <row r="6" spans="1:2">
      <c r="A6" s="5" t="s">
        <v>30</v>
      </c>
      <c r="B6" s="5" t="s">
        <v>31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Data_Entry</vt:lpstr>
      <vt:lpstr>Summary_Mean_SEM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桢昊 周</cp:lastModifiedBy>
  <dcterms:modified xsi:type="dcterms:W3CDTF">2026-07-22T06:40:58Z</dcterms:modified>
</cp:coreProperties>
</file>