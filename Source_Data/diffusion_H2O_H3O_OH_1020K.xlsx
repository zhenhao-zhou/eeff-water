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dell\Desktop\水模型论文材料汇总\作图\纯水以及质子扩散系数\"/>
    </mc:Choice>
  </mc:AlternateContent>
  <xr:revisionPtr revIDLastSave="0" documentId="13_ncr:1_{D84173C3-5282-4252-94D5-068263549E02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ta_Entry" sheetId="1" r:id="rId1"/>
    <sheet name="Plot_Summary" sheetId="2" r:id="rId2"/>
    <sheet name="Notes" sheetId="3" r:id="rId3"/>
  </sheets>
  <calcPr calcId="181029"/>
</workbook>
</file>

<file path=xl/calcChain.xml><?xml version="1.0" encoding="utf-8"?>
<calcChain xmlns="http://schemas.openxmlformats.org/spreadsheetml/2006/main">
  <c r="I71" i="2" l="1"/>
  <c r="H71" i="2"/>
  <c r="C71" i="2"/>
  <c r="B71" i="2"/>
  <c r="A71" i="2"/>
  <c r="I70" i="2"/>
  <c r="H70" i="2"/>
  <c r="C70" i="2"/>
  <c r="B70" i="2"/>
  <c r="A70" i="2"/>
  <c r="I69" i="2"/>
  <c r="H69" i="2"/>
  <c r="C69" i="2"/>
  <c r="B69" i="2"/>
  <c r="A69" i="2"/>
  <c r="I68" i="2"/>
  <c r="H68" i="2"/>
  <c r="C68" i="2"/>
  <c r="B68" i="2"/>
  <c r="A68" i="2"/>
  <c r="I67" i="2"/>
  <c r="H67" i="2"/>
  <c r="C67" i="2"/>
  <c r="B67" i="2"/>
  <c r="A67" i="2"/>
  <c r="I66" i="2"/>
  <c r="H66" i="2"/>
  <c r="C66" i="2"/>
  <c r="B66" i="2"/>
  <c r="A66" i="2"/>
  <c r="I65" i="2"/>
  <c r="H65" i="2"/>
  <c r="C65" i="2"/>
  <c r="B65" i="2"/>
  <c r="A65" i="2"/>
  <c r="I64" i="2"/>
  <c r="H64" i="2"/>
  <c r="C64" i="2"/>
  <c r="B64" i="2"/>
  <c r="A64" i="2"/>
  <c r="I63" i="2"/>
  <c r="H63" i="2"/>
  <c r="C63" i="2"/>
  <c r="B63" i="2"/>
  <c r="A63" i="2"/>
  <c r="I62" i="2"/>
  <c r="H62" i="2"/>
  <c r="C62" i="2"/>
  <c r="B62" i="2"/>
  <c r="A62" i="2"/>
  <c r="I61" i="2"/>
  <c r="H61" i="2"/>
  <c r="C61" i="2"/>
  <c r="B61" i="2"/>
  <c r="A61" i="2"/>
  <c r="I60" i="2"/>
  <c r="H60" i="2"/>
  <c r="C60" i="2"/>
  <c r="B60" i="2"/>
  <c r="A60" i="2"/>
  <c r="I59" i="2"/>
  <c r="H59" i="2"/>
  <c r="C59" i="2"/>
  <c r="B59" i="2"/>
  <c r="A59" i="2"/>
  <c r="I58" i="2"/>
  <c r="H58" i="2"/>
  <c r="C58" i="2"/>
  <c r="B58" i="2"/>
  <c r="A58" i="2"/>
  <c r="I57" i="2"/>
  <c r="H57" i="2"/>
  <c r="C57" i="2"/>
  <c r="B57" i="2"/>
  <c r="A57" i="2"/>
  <c r="I56" i="2"/>
  <c r="H56" i="2"/>
  <c r="C56" i="2"/>
  <c r="B56" i="2"/>
  <c r="A56" i="2"/>
  <c r="I55" i="2"/>
  <c r="H55" i="2"/>
  <c r="C55" i="2"/>
  <c r="B55" i="2"/>
  <c r="A55" i="2"/>
  <c r="I54" i="2"/>
  <c r="H54" i="2"/>
  <c r="C54" i="2"/>
  <c r="B54" i="2"/>
  <c r="A54" i="2"/>
  <c r="I53" i="2"/>
  <c r="H53" i="2"/>
  <c r="C53" i="2"/>
  <c r="B53" i="2"/>
  <c r="A53" i="2"/>
  <c r="I52" i="2"/>
  <c r="H52" i="2"/>
  <c r="C52" i="2"/>
  <c r="B52" i="2"/>
  <c r="A52" i="2"/>
  <c r="I51" i="2"/>
  <c r="H51" i="2"/>
  <c r="C51" i="2"/>
  <c r="B51" i="2"/>
  <c r="A51" i="2"/>
  <c r="I50" i="2"/>
  <c r="H50" i="2"/>
  <c r="C50" i="2"/>
  <c r="B50" i="2"/>
  <c r="A50" i="2"/>
  <c r="I49" i="2"/>
  <c r="H49" i="2"/>
  <c r="C49" i="2"/>
  <c r="B49" i="2"/>
  <c r="A49" i="2"/>
  <c r="I48" i="2"/>
  <c r="H48" i="2"/>
  <c r="C48" i="2"/>
  <c r="B48" i="2"/>
  <c r="A48" i="2"/>
  <c r="I47" i="2"/>
  <c r="H47" i="2"/>
  <c r="C47" i="2"/>
  <c r="B47" i="2"/>
  <c r="A47" i="2"/>
  <c r="I46" i="2"/>
  <c r="H46" i="2"/>
  <c r="C46" i="2"/>
  <c r="B46" i="2"/>
  <c r="A46" i="2"/>
  <c r="I45" i="2"/>
  <c r="H45" i="2"/>
  <c r="C45" i="2"/>
  <c r="B45" i="2"/>
  <c r="A45" i="2"/>
  <c r="I44" i="2"/>
  <c r="H44" i="2"/>
  <c r="C44" i="2"/>
  <c r="B44" i="2"/>
  <c r="A44" i="2"/>
  <c r="I43" i="2"/>
  <c r="H43" i="2"/>
  <c r="C43" i="2"/>
  <c r="B43" i="2"/>
  <c r="A43" i="2"/>
  <c r="I42" i="2"/>
  <c r="H42" i="2"/>
  <c r="C42" i="2"/>
  <c r="B42" i="2"/>
  <c r="A42" i="2"/>
  <c r="I41" i="2"/>
  <c r="H41" i="2"/>
  <c r="C41" i="2"/>
  <c r="B41" i="2"/>
  <c r="A41" i="2"/>
  <c r="I40" i="2"/>
  <c r="H40" i="2"/>
  <c r="C40" i="2"/>
  <c r="B40" i="2"/>
  <c r="A40" i="2"/>
  <c r="I39" i="2"/>
  <c r="H39" i="2"/>
  <c r="C39" i="2"/>
  <c r="B39" i="2"/>
  <c r="A39" i="2"/>
  <c r="I38" i="2"/>
  <c r="H38" i="2"/>
  <c r="C38" i="2"/>
  <c r="B38" i="2"/>
  <c r="A38" i="2"/>
  <c r="I37" i="2"/>
  <c r="H37" i="2"/>
  <c r="C37" i="2"/>
  <c r="B37" i="2"/>
  <c r="A37" i="2"/>
  <c r="I36" i="2"/>
  <c r="H36" i="2"/>
  <c r="C36" i="2"/>
  <c r="B36" i="2"/>
  <c r="A36" i="2"/>
  <c r="I35" i="2"/>
  <c r="H35" i="2"/>
  <c r="C35" i="2"/>
  <c r="B35" i="2"/>
  <c r="A35" i="2"/>
  <c r="I34" i="2"/>
  <c r="H34" i="2"/>
  <c r="C34" i="2"/>
  <c r="B34" i="2"/>
  <c r="A34" i="2"/>
  <c r="I33" i="2"/>
  <c r="H33" i="2"/>
  <c r="C33" i="2"/>
  <c r="B33" i="2"/>
  <c r="A33" i="2"/>
  <c r="I32" i="2"/>
  <c r="H32" i="2"/>
  <c r="C32" i="2"/>
  <c r="B32" i="2"/>
  <c r="A32" i="2"/>
  <c r="I31" i="2"/>
  <c r="H31" i="2"/>
  <c r="C31" i="2"/>
  <c r="B31" i="2"/>
  <c r="A31" i="2"/>
  <c r="I30" i="2"/>
  <c r="H30" i="2"/>
  <c r="C30" i="2"/>
  <c r="B30" i="2"/>
  <c r="A30" i="2"/>
  <c r="I29" i="2"/>
  <c r="H29" i="2"/>
  <c r="C29" i="2"/>
  <c r="B29" i="2"/>
  <c r="A29" i="2"/>
  <c r="I28" i="2"/>
  <c r="H28" i="2"/>
  <c r="C28" i="2"/>
  <c r="B28" i="2"/>
  <c r="A28" i="2"/>
  <c r="I27" i="2"/>
  <c r="H27" i="2"/>
  <c r="C27" i="2"/>
  <c r="B27" i="2"/>
  <c r="A27" i="2"/>
  <c r="I26" i="2"/>
  <c r="H26" i="2"/>
  <c r="C26" i="2"/>
  <c r="B26" i="2"/>
  <c r="A26" i="2"/>
  <c r="I25" i="2"/>
  <c r="H25" i="2"/>
  <c r="C25" i="2"/>
  <c r="B25" i="2"/>
  <c r="A25" i="2"/>
  <c r="I24" i="2"/>
  <c r="H24" i="2"/>
  <c r="C24" i="2"/>
  <c r="B24" i="2"/>
  <c r="A24" i="2"/>
  <c r="I23" i="2"/>
  <c r="H23" i="2"/>
  <c r="C23" i="2"/>
  <c r="B23" i="2"/>
  <c r="A23" i="2"/>
  <c r="I22" i="2"/>
  <c r="H22" i="2"/>
  <c r="C22" i="2"/>
  <c r="B22" i="2"/>
  <c r="A22" i="2"/>
  <c r="I21" i="2"/>
  <c r="H21" i="2"/>
  <c r="C21" i="2"/>
  <c r="B21" i="2"/>
  <c r="A21" i="2"/>
  <c r="I20" i="2"/>
  <c r="H20" i="2"/>
  <c r="C20" i="2"/>
  <c r="B20" i="2"/>
  <c r="A20" i="2"/>
  <c r="I19" i="2"/>
  <c r="H19" i="2"/>
  <c r="C19" i="2"/>
  <c r="B19" i="2"/>
  <c r="A19" i="2"/>
  <c r="I18" i="2"/>
  <c r="H18" i="2"/>
  <c r="C18" i="2"/>
  <c r="B18" i="2"/>
  <c r="A18" i="2"/>
  <c r="I17" i="2"/>
  <c r="H17" i="2"/>
  <c r="C17" i="2"/>
  <c r="B17" i="2"/>
  <c r="A17" i="2"/>
  <c r="I16" i="2"/>
  <c r="H16" i="2"/>
  <c r="C16" i="2"/>
  <c r="B16" i="2"/>
  <c r="A16" i="2"/>
  <c r="I15" i="2"/>
  <c r="H15" i="2"/>
  <c r="C15" i="2"/>
  <c r="B15" i="2"/>
  <c r="A15" i="2"/>
  <c r="I14" i="2"/>
  <c r="H14" i="2"/>
  <c r="C14" i="2"/>
  <c r="B14" i="2"/>
  <c r="A14" i="2"/>
  <c r="I13" i="2"/>
  <c r="H13" i="2"/>
  <c r="C13" i="2"/>
  <c r="B13" i="2"/>
  <c r="A13" i="2"/>
  <c r="I12" i="2"/>
  <c r="H12" i="2"/>
  <c r="C12" i="2"/>
  <c r="B12" i="2"/>
  <c r="A12" i="2"/>
  <c r="I11" i="2"/>
  <c r="H11" i="2"/>
  <c r="C11" i="2"/>
  <c r="B11" i="2"/>
  <c r="A11" i="2"/>
  <c r="I10" i="2"/>
  <c r="H10" i="2"/>
  <c r="C10" i="2"/>
  <c r="B10" i="2"/>
  <c r="A10" i="2"/>
  <c r="I9" i="2"/>
  <c r="H9" i="2"/>
  <c r="C9" i="2"/>
  <c r="B9" i="2"/>
  <c r="A9" i="2"/>
  <c r="I8" i="2"/>
  <c r="H8" i="2"/>
  <c r="C8" i="2"/>
  <c r="B8" i="2"/>
  <c r="A8" i="2"/>
  <c r="I7" i="2"/>
  <c r="H7" i="2"/>
  <c r="C7" i="2"/>
  <c r="B7" i="2"/>
  <c r="A7" i="2"/>
  <c r="I6" i="2"/>
  <c r="H6" i="2"/>
  <c r="C6" i="2"/>
  <c r="B6" i="2"/>
  <c r="A6" i="2"/>
  <c r="I5" i="2"/>
  <c r="H5" i="2"/>
  <c r="C5" i="2"/>
  <c r="B5" i="2"/>
  <c r="A5" i="2"/>
  <c r="I4" i="2"/>
  <c r="H4" i="2"/>
  <c r="C4" i="2"/>
  <c r="B4" i="2"/>
  <c r="A4" i="2"/>
  <c r="I3" i="2"/>
  <c r="H3" i="2"/>
  <c r="C3" i="2"/>
  <c r="B3" i="2"/>
  <c r="A3" i="2"/>
  <c r="H71" i="1"/>
  <c r="G71" i="2" s="1"/>
  <c r="H70" i="1"/>
  <c r="H69" i="1"/>
  <c r="G69" i="2" s="1"/>
  <c r="H68" i="1"/>
  <c r="H67" i="1"/>
  <c r="G67" i="2" s="1"/>
  <c r="H66" i="1"/>
  <c r="H65" i="1"/>
  <c r="H64" i="1"/>
  <c r="G64" i="2" s="1"/>
  <c r="H63" i="1"/>
  <c r="G63" i="2" s="1"/>
  <c r="H62" i="1"/>
  <c r="H61" i="1"/>
  <c r="H60" i="1"/>
  <c r="G60" i="2" s="1"/>
  <c r="H59" i="1"/>
  <c r="H58" i="1"/>
  <c r="H57" i="1"/>
  <c r="G57" i="2" s="1"/>
  <c r="H56" i="1"/>
  <c r="G56" i="2" s="1"/>
  <c r="H55" i="1"/>
  <c r="G55" i="2" s="1"/>
  <c r="H54" i="1"/>
  <c r="H53" i="1"/>
  <c r="G53" i="2" s="1"/>
  <c r="H52" i="1"/>
  <c r="K52" i="1" s="1"/>
  <c r="E52" i="2" s="1"/>
  <c r="H51" i="1"/>
  <c r="G51" i="2" s="1"/>
  <c r="H50" i="1"/>
  <c r="H49" i="1"/>
  <c r="H48" i="1"/>
  <c r="G48" i="2" s="1"/>
  <c r="H47" i="1"/>
  <c r="G47" i="2" s="1"/>
  <c r="H46" i="1"/>
  <c r="H45" i="1"/>
  <c r="H44" i="1"/>
  <c r="G44" i="2" s="1"/>
  <c r="H43" i="1"/>
  <c r="H42" i="1"/>
  <c r="H41" i="1"/>
  <c r="G41" i="2" s="1"/>
  <c r="H40" i="1"/>
  <c r="G40" i="2" s="1"/>
  <c r="H39" i="1"/>
  <c r="G39" i="2" s="1"/>
  <c r="H38" i="1"/>
  <c r="H37" i="1"/>
  <c r="G37" i="2" s="1"/>
  <c r="H36" i="1"/>
  <c r="H35" i="1"/>
  <c r="G35" i="2" s="1"/>
  <c r="H34" i="1"/>
  <c r="H33" i="1"/>
  <c r="H32" i="1"/>
  <c r="G32" i="2" s="1"/>
  <c r="H31" i="1"/>
  <c r="G31" i="2" s="1"/>
  <c r="H30" i="1"/>
  <c r="K30" i="1" s="1"/>
  <c r="E30" i="2" s="1"/>
  <c r="H29" i="1"/>
  <c r="K29" i="1" s="1"/>
  <c r="E29" i="2" s="1"/>
  <c r="H28" i="1"/>
  <c r="G28" i="2" s="1"/>
  <c r="H27" i="1"/>
  <c r="H26" i="1"/>
  <c r="K26" i="1" s="1"/>
  <c r="E26" i="2" s="1"/>
  <c r="H25" i="1"/>
  <c r="K25" i="1" s="1"/>
  <c r="E25" i="2" s="1"/>
  <c r="H24" i="1"/>
  <c r="G24" i="2" s="1"/>
  <c r="H23" i="1"/>
  <c r="G23" i="2" s="1"/>
  <c r="H22" i="1"/>
  <c r="H21" i="1"/>
  <c r="G21" i="2" s="1"/>
  <c r="H20" i="1"/>
  <c r="H19" i="1"/>
  <c r="G19" i="2" s="1"/>
  <c r="H18" i="1"/>
  <c r="H17" i="1"/>
  <c r="H16" i="1"/>
  <c r="G16" i="2" s="1"/>
  <c r="H15" i="1"/>
  <c r="G15" i="2" s="1"/>
  <c r="H14" i="1"/>
  <c r="H13" i="1"/>
  <c r="H12" i="1"/>
  <c r="G12" i="2" s="1"/>
  <c r="H11" i="1"/>
  <c r="H10" i="1"/>
  <c r="H9" i="1"/>
  <c r="G9" i="2" s="1"/>
  <c r="H8" i="1"/>
  <c r="G8" i="2" s="1"/>
  <c r="H7" i="1"/>
  <c r="G7" i="2" s="1"/>
  <c r="H6" i="1"/>
  <c r="H5" i="1"/>
  <c r="G5" i="2" s="1"/>
  <c r="H4" i="1"/>
  <c r="K4" i="1" s="1"/>
  <c r="E4" i="2" s="1"/>
  <c r="H3" i="1"/>
  <c r="G3" i="2" s="1"/>
  <c r="G25" i="2" l="1"/>
  <c r="I3" i="1"/>
  <c r="D3" i="2" s="1"/>
  <c r="I7" i="1"/>
  <c r="D7" i="2" s="1"/>
  <c r="I11" i="1"/>
  <c r="D11" i="2" s="1"/>
  <c r="I15" i="1"/>
  <c r="D15" i="2" s="1"/>
  <c r="I19" i="1"/>
  <c r="D19" i="2" s="1"/>
  <c r="I23" i="1"/>
  <c r="D23" i="2" s="1"/>
  <c r="I27" i="1"/>
  <c r="D27" i="2" s="1"/>
  <c r="I31" i="1"/>
  <c r="D31" i="2" s="1"/>
  <c r="I35" i="1"/>
  <c r="D35" i="2" s="1"/>
  <c r="I39" i="1"/>
  <c r="D39" i="2" s="1"/>
  <c r="I43" i="1"/>
  <c r="D43" i="2" s="1"/>
  <c r="I47" i="1"/>
  <c r="D47" i="2" s="1"/>
  <c r="I51" i="1"/>
  <c r="D51" i="2" s="1"/>
  <c r="I55" i="1"/>
  <c r="D55" i="2" s="1"/>
  <c r="I59" i="1"/>
  <c r="D59" i="2" s="1"/>
  <c r="I63" i="1"/>
  <c r="D63" i="2" s="1"/>
  <c r="I67" i="1"/>
  <c r="D67" i="2" s="1"/>
  <c r="I71" i="1"/>
  <c r="D71" i="2" s="1"/>
  <c r="G18" i="2"/>
  <c r="G34" i="2"/>
  <c r="G50" i="2"/>
  <c r="G66" i="2"/>
  <c r="J3" i="1"/>
  <c r="F3" i="2" s="1"/>
  <c r="J7" i="1"/>
  <c r="F7" i="2" s="1"/>
  <c r="J11" i="1"/>
  <c r="F11" i="2" s="1"/>
  <c r="J15" i="1"/>
  <c r="F15" i="2" s="1"/>
  <c r="J19" i="1"/>
  <c r="F19" i="2" s="1"/>
  <c r="J23" i="1"/>
  <c r="F23" i="2" s="1"/>
  <c r="J27" i="1"/>
  <c r="J31" i="1"/>
  <c r="F31" i="2" s="1"/>
  <c r="J35" i="1"/>
  <c r="F35" i="2" s="1"/>
  <c r="J39" i="1"/>
  <c r="F39" i="2" s="1"/>
  <c r="J43" i="1"/>
  <c r="F43" i="2" s="1"/>
  <c r="J47" i="1"/>
  <c r="F47" i="2" s="1"/>
  <c r="J51" i="1"/>
  <c r="F51" i="2" s="1"/>
  <c r="J55" i="1"/>
  <c r="F55" i="2" s="1"/>
  <c r="J59" i="1"/>
  <c r="F59" i="2" s="1"/>
  <c r="J63" i="1"/>
  <c r="F63" i="2" s="1"/>
  <c r="J67" i="1"/>
  <c r="J71" i="1"/>
  <c r="G11" i="2"/>
  <c r="G27" i="2"/>
  <c r="G43" i="2"/>
  <c r="G59" i="2"/>
  <c r="K3" i="1"/>
  <c r="E3" i="2" s="1"/>
  <c r="K31" i="1"/>
  <c r="E31" i="2" s="1"/>
  <c r="K51" i="1"/>
  <c r="E51" i="2" s="1"/>
  <c r="G4" i="2"/>
  <c r="G20" i="2"/>
  <c r="G36" i="2"/>
  <c r="G52" i="2"/>
  <c r="G68" i="2"/>
  <c r="G29" i="2"/>
  <c r="I4" i="1"/>
  <c r="D4" i="2" s="1"/>
  <c r="I8" i="1"/>
  <c r="D8" i="2" s="1"/>
  <c r="I12" i="1"/>
  <c r="D12" i="2" s="1"/>
  <c r="I16" i="1"/>
  <c r="D16" i="2" s="1"/>
  <c r="I20" i="1"/>
  <c r="D20" i="2" s="1"/>
  <c r="I24" i="1"/>
  <c r="D24" i="2" s="1"/>
  <c r="I28" i="1"/>
  <c r="D28" i="2" s="1"/>
  <c r="I32" i="1"/>
  <c r="D32" i="2" s="1"/>
  <c r="I36" i="1"/>
  <c r="D36" i="2" s="1"/>
  <c r="I40" i="1"/>
  <c r="D40" i="2" s="1"/>
  <c r="I44" i="1"/>
  <c r="D44" i="2" s="1"/>
  <c r="I48" i="1"/>
  <c r="D48" i="2" s="1"/>
  <c r="I52" i="1"/>
  <c r="D52" i="2" s="1"/>
  <c r="I56" i="1"/>
  <c r="D56" i="2" s="1"/>
  <c r="I60" i="1"/>
  <c r="D60" i="2" s="1"/>
  <c r="I64" i="1"/>
  <c r="D64" i="2" s="1"/>
  <c r="I68" i="1"/>
  <c r="D68" i="2" s="1"/>
  <c r="G6" i="2"/>
  <c r="G22" i="2"/>
  <c r="G38" i="2"/>
  <c r="G54" i="2"/>
  <c r="G70" i="2"/>
  <c r="G13" i="2"/>
  <c r="G61" i="2"/>
  <c r="J4" i="1"/>
  <c r="F4" i="2" s="1"/>
  <c r="J8" i="1"/>
  <c r="F8" i="2" s="1"/>
  <c r="J12" i="1"/>
  <c r="F12" i="2" s="1"/>
  <c r="J16" i="1"/>
  <c r="F16" i="2" s="1"/>
  <c r="J20" i="1"/>
  <c r="F20" i="2" s="1"/>
  <c r="J24" i="1"/>
  <c r="F24" i="2" s="1"/>
  <c r="J28" i="1"/>
  <c r="F28" i="2" s="1"/>
  <c r="J32" i="1"/>
  <c r="F32" i="2" s="1"/>
  <c r="J36" i="1"/>
  <c r="F36" i="2" s="1"/>
  <c r="J40" i="1"/>
  <c r="F40" i="2" s="1"/>
  <c r="J44" i="1"/>
  <c r="F44" i="2" s="1"/>
  <c r="J48" i="1"/>
  <c r="J52" i="1"/>
  <c r="F52" i="2" s="1"/>
  <c r="J56" i="1"/>
  <c r="F56" i="2" s="1"/>
  <c r="J60" i="1"/>
  <c r="F60" i="2" s="1"/>
  <c r="J64" i="1"/>
  <c r="F64" i="2" s="1"/>
  <c r="J68" i="1"/>
  <c r="F68" i="2" s="1"/>
  <c r="G45" i="2"/>
  <c r="K24" i="1"/>
  <c r="E24" i="2" s="1"/>
  <c r="K28" i="1"/>
  <c r="E28" i="2" s="1"/>
  <c r="K32" i="1"/>
  <c r="E32" i="2" s="1"/>
  <c r="G17" i="2"/>
  <c r="G33" i="2"/>
  <c r="G49" i="2"/>
  <c r="G65" i="2"/>
  <c r="I5" i="1"/>
  <c r="D5" i="2" s="1"/>
  <c r="I9" i="1"/>
  <c r="D9" i="2" s="1"/>
  <c r="I13" i="1"/>
  <c r="D13" i="2" s="1"/>
  <c r="I17" i="1"/>
  <c r="D17" i="2" s="1"/>
  <c r="I21" i="1"/>
  <c r="D21" i="2" s="1"/>
  <c r="I25" i="1"/>
  <c r="D25" i="2" s="1"/>
  <c r="I29" i="1"/>
  <c r="D29" i="2" s="1"/>
  <c r="I33" i="1"/>
  <c r="D33" i="2" s="1"/>
  <c r="I37" i="1"/>
  <c r="D37" i="2" s="1"/>
  <c r="I41" i="1"/>
  <c r="D41" i="2" s="1"/>
  <c r="I45" i="1"/>
  <c r="D45" i="2" s="1"/>
  <c r="I49" i="1"/>
  <c r="D49" i="2" s="1"/>
  <c r="I53" i="1"/>
  <c r="D53" i="2" s="1"/>
  <c r="I57" i="1"/>
  <c r="D57" i="2" s="1"/>
  <c r="I61" i="1"/>
  <c r="D61" i="2" s="1"/>
  <c r="I65" i="1"/>
  <c r="D65" i="2" s="1"/>
  <c r="I69" i="1"/>
  <c r="D69" i="2" s="1"/>
  <c r="G10" i="2"/>
  <c r="G26" i="2"/>
  <c r="G42" i="2"/>
  <c r="G58" i="2"/>
  <c r="J5" i="1"/>
  <c r="F5" i="2" s="1"/>
  <c r="J9" i="1"/>
  <c r="F9" i="2" s="1"/>
  <c r="J13" i="1"/>
  <c r="F13" i="2" s="1"/>
  <c r="J17" i="1"/>
  <c r="J21" i="1"/>
  <c r="F21" i="2" s="1"/>
  <c r="J25" i="1"/>
  <c r="F25" i="2" s="1"/>
  <c r="J29" i="1"/>
  <c r="F29" i="2" s="1"/>
  <c r="J33" i="1"/>
  <c r="F33" i="2" s="1"/>
  <c r="J37" i="1"/>
  <c r="F37" i="2" s="1"/>
  <c r="J41" i="1"/>
  <c r="F41" i="2" s="1"/>
  <c r="J45" i="1"/>
  <c r="F45" i="2" s="1"/>
  <c r="J49" i="1"/>
  <c r="J53" i="1"/>
  <c r="F53" i="2" s="1"/>
  <c r="J57" i="1"/>
  <c r="F57" i="2" s="1"/>
  <c r="J61" i="1"/>
  <c r="F61" i="2" s="1"/>
  <c r="J65" i="1"/>
  <c r="F65" i="2" s="1"/>
  <c r="J69" i="1"/>
  <c r="F69" i="2" s="1"/>
  <c r="K5" i="1"/>
  <c r="E5" i="2" s="1"/>
  <c r="K53" i="1"/>
  <c r="E53" i="2" s="1"/>
  <c r="I14" i="1"/>
  <c r="D14" i="2" s="1"/>
  <c r="I22" i="1"/>
  <c r="D22" i="2" s="1"/>
  <c r="I26" i="1"/>
  <c r="D26" i="2" s="1"/>
  <c r="I30" i="1"/>
  <c r="D30" i="2" s="1"/>
  <c r="I38" i="1"/>
  <c r="D38" i="2" s="1"/>
  <c r="I46" i="1"/>
  <c r="D46" i="2" s="1"/>
  <c r="I50" i="1"/>
  <c r="D50" i="2" s="1"/>
  <c r="I54" i="1"/>
  <c r="D54" i="2" s="1"/>
  <c r="I58" i="1"/>
  <c r="D58" i="2" s="1"/>
  <c r="I62" i="1"/>
  <c r="D62" i="2" s="1"/>
  <c r="I66" i="1"/>
  <c r="D66" i="2" s="1"/>
  <c r="I70" i="1"/>
  <c r="D70" i="2" s="1"/>
  <c r="G14" i="2"/>
  <c r="G30" i="2"/>
  <c r="G46" i="2"/>
  <c r="G62" i="2"/>
  <c r="I10" i="1"/>
  <c r="D10" i="2" s="1"/>
  <c r="I18" i="1"/>
  <c r="D18" i="2" s="1"/>
  <c r="I34" i="1"/>
  <c r="D34" i="2" s="1"/>
  <c r="J14" i="1"/>
  <c r="F14" i="2" s="1"/>
  <c r="J22" i="1"/>
  <c r="F22" i="2" s="1"/>
  <c r="J30" i="1"/>
  <c r="F30" i="2" s="1"/>
  <c r="J34" i="1"/>
  <c r="F34" i="2" s="1"/>
  <c r="J42" i="1"/>
  <c r="F42" i="2" s="1"/>
  <c r="J50" i="1"/>
  <c r="J58" i="1"/>
  <c r="F58" i="2" s="1"/>
  <c r="J62" i="1"/>
  <c r="F62" i="2" s="1"/>
  <c r="J70" i="1"/>
  <c r="F70" i="2" s="1"/>
  <c r="I6" i="1"/>
  <c r="D6" i="2" s="1"/>
  <c r="I42" i="1"/>
  <c r="D42" i="2" s="1"/>
  <c r="J6" i="1"/>
  <c r="F6" i="2" s="1"/>
  <c r="J10" i="1"/>
  <c r="F10" i="2" s="1"/>
  <c r="J18" i="1"/>
  <c r="F18" i="2" s="1"/>
  <c r="J26" i="1"/>
  <c r="F26" i="2" s="1"/>
  <c r="J38" i="1"/>
  <c r="F38" i="2" s="1"/>
  <c r="J46" i="1"/>
  <c r="F46" i="2" s="1"/>
  <c r="J54" i="1"/>
  <c r="F54" i="2" s="1"/>
  <c r="J66" i="1"/>
  <c r="K9" i="1" l="1"/>
  <c r="E9" i="2" s="1"/>
  <c r="K19" i="1"/>
  <c r="E19" i="2" s="1"/>
  <c r="K18" i="1"/>
  <c r="E18" i="2" s="1"/>
  <c r="K8" i="1"/>
  <c r="E8" i="2" s="1"/>
  <c r="K6" i="1"/>
  <c r="E6" i="2" s="1"/>
  <c r="K11" i="1"/>
  <c r="E11" i="2" s="1"/>
  <c r="K10" i="1"/>
  <c r="E10" i="2" s="1"/>
  <c r="K21" i="1"/>
  <c r="E21" i="2" s="1"/>
  <c r="K64" i="1"/>
  <c r="E64" i="2" s="1"/>
  <c r="K63" i="1"/>
  <c r="E63" i="2" s="1"/>
  <c r="K43" i="1"/>
  <c r="E43" i="2" s="1"/>
  <c r="K42" i="1"/>
  <c r="E42" i="2" s="1"/>
  <c r="K20" i="1"/>
  <c r="E20" i="2" s="1"/>
  <c r="K58" i="1"/>
  <c r="E58" i="2" s="1"/>
  <c r="K57" i="1"/>
  <c r="E57" i="2" s="1"/>
  <c r="K12" i="1"/>
  <c r="E12" i="2" s="1"/>
  <c r="K37" i="1"/>
  <c r="E37" i="2" s="1"/>
  <c r="K36" i="1"/>
  <c r="E36" i="2" s="1"/>
  <c r="K14" i="1"/>
  <c r="E14" i="2" s="1"/>
  <c r="K13" i="1"/>
  <c r="E13" i="2" s="1"/>
  <c r="K69" i="1"/>
  <c r="E69" i="2" s="1"/>
  <c r="K55" i="1"/>
  <c r="E55" i="2" s="1"/>
  <c r="K23" i="1"/>
  <c r="E23" i="2" s="1"/>
  <c r="K54" i="1"/>
  <c r="E54" i="2" s="1"/>
  <c r="K56" i="1"/>
  <c r="E56" i="2" s="1"/>
  <c r="K70" i="1"/>
  <c r="E70" i="2" s="1"/>
  <c r="K22" i="1"/>
  <c r="E22" i="2" s="1"/>
  <c r="F27" i="2"/>
  <c r="K27" i="1"/>
  <c r="E27" i="2" s="1"/>
  <c r="F48" i="2"/>
  <c r="K48" i="1"/>
  <c r="E48" i="2" s="1"/>
  <c r="F71" i="2"/>
  <c r="K71" i="1"/>
  <c r="E71" i="2" s="1"/>
  <c r="F49" i="2"/>
  <c r="K49" i="1"/>
  <c r="E49" i="2" s="1"/>
  <c r="F50" i="2"/>
  <c r="K50" i="1"/>
  <c r="E50" i="2" s="1"/>
  <c r="F67" i="2"/>
  <c r="K67" i="1"/>
  <c r="E67" i="2" s="1"/>
  <c r="F66" i="2"/>
  <c r="K66" i="1"/>
  <c r="E66" i="2" s="1"/>
  <c r="F17" i="2"/>
  <c r="K17" i="1"/>
  <c r="E17" i="2" s="1"/>
  <c r="K65" i="1"/>
  <c r="E65" i="2" s="1"/>
  <c r="K44" i="1"/>
  <c r="E44" i="2" s="1"/>
  <c r="K59" i="1"/>
  <c r="E59" i="2" s="1"/>
  <c r="K38" i="1"/>
  <c r="E38" i="2" s="1"/>
  <c r="K35" i="1"/>
  <c r="E35" i="2" s="1"/>
  <c r="K61" i="1"/>
  <c r="E61" i="2" s="1"/>
  <c r="K62" i="1"/>
  <c r="E62" i="2" s="1"/>
  <c r="K60" i="1"/>
  <c r="E60" i="2" s="1"/>
  <c r="K68" i="1"/>
  <c r="E68" i="2" s="1"/>
  <c r="K47" i="1"/>
  <c r="E47" i="2" s="1"/>
  <c r="K46" i="1"/>
  <c r="E46" i="2" s="1"/>
  <c r="K45" i="1"/>
  <c r="E45" i="2" s="1"/>
  <c r="K15" i="1"/>
  <c r="E15" i="2" s="1"/>
  <c r="K16" i="1"/>
  <c r="E16" i="2" s="1"/>
  <c r="K39" i="1"/>
  <c r="E39" i="2" s="1"/>
  <c r="K40" i="1"/>
  <c r="E40" i="2" s="1"/>
  <c r="K41" i="1"/>
  <c r="E41" i="2" s="1"/>
  <c r="K34" i="1"/>
  <c r="E34" i="2" s="1"/>
  <c r="K33" i="1"/>
  <c r="E33" i="2" s="1"/>
  <c r="K7" i="1"/>
  <c r="E7" i="2" s="1"/>
</calcChain>
</file>

<file path=xl/sharedStrings.xml><?xml version="1.0" encoding="utf-8"?>
<sst xmlns="http://schemas.openxmlformats.org/spreadsheetml/2006/main" count="403" uniqueCount="61">
  <si>
    <t>Diffusion coefficient and density data-entry template</t>
  </si>
  <si>
    <t>Model</t>
  </si>
  <si>
    <t>System / condition</t>
  </si>
  <si>
    <t>Observable</t>
  </si>
  <si>
    <t>Reference value</t>
  </si>
  <si>
    <t>Trajectory 1</t>
  </si>
  <si>
    <t>Trajectory 2</t>
  </si>
  <si>
    <t>Trajectory 3</t>
  </si>
  <si>
    <t>N filled</t>
  </si>
  <si>
    <t>Mean</t>
  </si>
  <si>
    <t>Std</t>
  </si>
  <si>
    <t>SEM</t>
  </si>
  <si>
    <t>Unit</t>
  </si>
  <si>
    <t>Notes</t>
  </si>
  <si>
    <t>Experiment</t>
  </si>
  <si>
    <t>300 K, 1 atm / proton-defect water</t>
  </si>
  <si>
    <t>D_H₂O</t>
  </si>
  <si>
    <t>Å²/ps</t>
  </si>
  <si>
    <t>原始三列顺序: H2O, OH, H3O; 此处为 H2O</t>
  </si>
  <si>
    <t>D_H₃O</t>
  </si>
  <si>
    <t>原始三列顺序: H2O, OH, H3O; 此处为 H3O</t>
  </si>
  <si>
    <t>D_OH</t>
  </si>
  <si>
    <t>原始三列顺序: H2O, OH, H3O; 此处为 OH</t>
  </si>
  <si>
    <t>EeFF</t>
  </si>
  <si>
    <t>Lewis</t>
  </si>
  <si>
    <t>Cheng-MLP</t>
  </si>
  <si>
    <t>DP-H2OPD</t>
  </si>
  <si>
    <t>ANI-1xnr</t>
  </si>
  <si>
    <t>ReaxFF</t>
  </si>
  <si>
    <t>MACE</t>
  </si>
  <si>
    <t>DP-H3O/OH</t>
  </si>
  <si>
    <t>AIMD</t>
  </si>
  <si>
    <t>1020 K, 11 GPa</t>
  </si>
  <si>
    <t>D_O</t>
  </si>
  <si>
    <t>高温高压体系氧扩散系数</t>
  </si>
  <si>
    <t>D_H</t>
  </si>
  <si>
    <t>高温高压体系氢扩散系数</t>
  </si>
  <si>
    <t>rho</t>
  </si>
  <si>
    <t>g/cm³</t>
  </si>
  <si>
    <t>体系密度; ANI-1xnr 使用 NVT/AIMD 密度</t>
  </si>
  <si>
    <t>1020 K, 20 GPa</t>
  </si>
  <si>
    <t>Summary for plotting error bars</t>
  </si>
  <si>
    <t>Plot value (Mean)</t>
  </si>
  <si>
    <t>Error bar (SEM)</t>
  </si>
  <si>
    <t>N</t>
  </si>
  <si>
    <t>说明</t>
  </si>
  <si>
    <t>内容</t>
  </si>
  <si>
    <t>填写方式</t>
  </si>
  <si>
    <t>黄色列 Trajectory 1-3 用于填写三条独立轨迹的结果。Mean, Std, SEM 会自动计算。</t>
  </si>
  <si>
    <t>Ambient 数据顺序</t>
  </si>
  <si>
    <t>原始 D_H2O_OH_H3O 文件的三个数按 H2O, OH, H3O 读取；本表按 H2O, H3O, OH 展开。</t>
  </si>
  <si>
    <t>高温高压新增体系</t>
  </si>
  <si>
    <t>已加入 1020 K, 11 GPa 和 1020 K, 20 GPa；每个体系包含 D_O, D_H 和 rho 三个指标。</t>
  </si>
  <si>
    <t>模型命名</t>
  </si>
  <si>
    <t>原始文件中的 NNP 在本表统一写作 Cheng-MLP；DP_H2OPD 写作 DP-H2OPD；DP_H3O_OH 写作 DP-H3O/OH。</t>
  </si>
  <si>
    <t>单位</t>
  </si>
  <si>
    <t>扩散系数单位为 Å²/ps；密度 rho 单位为 g/cm³。</t>
  </si>
  <si>
    <t>ANI-1xnr 注释</t>
  </si>
  <si>
    <t>高温高压数据源中注明 ANI-1xnr 采用 NVT，因为不能控压；表中保留在 Notes 列。</t>
  </si>
  <si>
    <t>后续作图</t>
  </si>
  <si>
    <t>可直接使用 Plot_Summary 表中的 Plot value (Mean) 和 Error bar (SEM) 画误差棒。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</si>
</sst>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00"/>
  </numFmts>
  <fonts count="6">
    <font>
      <sz val="11"/>
      <name val="Carlito"/>
    </font>
    <font>
      <b/>
      <sz val="14"/>
      <color rgb="FFFFFFFF"/>
      <name val="Carlito"/>
    </font>
    <font>
      <b/>
      <sz val="11"/>
      <color rgb="FF000000"/>
      <name val="Carlito"/>
    </font>
    <font>
      <sz val="11"/>
      <name val="Carlito"/>
    </font>
    <font>
      <sz val="9"/>
      <name val="宋体"/>
      <family val="3"/>
      <charset val="134"/>
    </font>
    <font>
      <sz val="11"/>
      <name val="宋体"/>
      <family val="3"/>
      <charset val="134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FFF2CC"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  <border>
      <left/>
      <right/>
      <top/>
      <bottom/>
      <diagonal/>
    </border>
  </borders>
  <cellStyleXfs count="2">
    <xf numFmtId="0" fontId="0" fillId="0" borderId="0"/>
    <xf numFmtId="0" fontId="3" fillId="0" borderId="0"/>
  </cellStyleXfs>
  <cellXfs count="27">
    <xf numFmtId="0" fontId="0" fillId="0" borderId="0" xfId="0"/>
    <xf numFmtId="0" fontId="2" fillId="3" borderId="4" xfId="1" applyFont="1" applyFill="1" applyBorder="1" applyAlignment="1">
      <alignment horizontal="center" vertical="center" wrapText="1"/>
    </xf>
    <xf numFmtId="0" fontId="2" fillId="3" borderId="5" xfId="1" applyFont="1" applyFill="1" applyBorder="1" applyAlignment="1">
      <alignment horizontal="center" vertical="center" wrapText="1"/>
    </xf>
    <xf numFmtId="0" fontId="2" fillId="3" borderId="6" xfId="1" applyFont="1" applyFill="1" applyBorder="1" applyAlignment="1">
      <alignment horizontal="center" vertical="center" wrapText="1"/>
    </xf>
    <xf numFmtId="0" fontId="0" fillId="0" borderId="4" xfId="1" applyFont="1" applyBorder="1"/>
    <xf numFmtId="0" fontId="0" fillId="0" borderId="5" xfId="1" applyFont="1" applyBorder="1"/>
    <xf numFmtId="0" fontId="0" fillId="0" borderId="7" xfId="1" applyFont="1" applyBorder="1"/>
    <xf numFmtId="0" fontId="0" fillId="0" borderId="8" xfId="1" applyFont="1" applyBorder="1"/>
    <xf numFmtId="176" fontId="0" fillId="0" borderId="5" xfId="1" applyNumberFormat="1" applyFont="1" applyBorder="1"/>
    <xf numFmtId="176" fontId="0" fillId="0" borderId="8" xfId="1" applyNumberFormat="1" applyFont="1" applyBorder="1"/>
    <xf numFmtId="176" fontId="0" fillId="4" borderId="5" xfId="1" applyNumberFormat="1" applyFont="1" applyFill="1" applyBorder="1"/>
    <xf numFmtId="176" fontId="0" fillId="4" borderId="8" xfId="1" applyNumberFormat="1" applyFont="1" applyFill="1" applyBorder="1"/>
    <xf numFmtId="0" fontId="0" fillId="0" borderId="4" xfId="1" applyFont="1" applyBorder="1" applyAlignment="1">
      <alignment wrapText="1"/>
    </xf>
    <xf numFmtId="0" fontId="0" fillId="0" borderId="5" xfId="1" applyFont="1" applyBorder="1" applyAlignment="1">
      <alignment wrapText="1"/>
    </xf>
    <xf numFmtId="0" fontId="0" fillId="0" borderId="7" xfId="1" applyFont="1" applyBorder="1" applyAlignment="1">
      <alignment wrapText="1"/>
    </xf>
    <xf numFmtId="0" fontId="0" fillId="0" borderId="8" xfId="1" applyFont="1" applyBorder="1" applyAlignment="1">
      <alignment wrapText="1"/>
    </xf>
    <xf numFmtId="0" fontId="0" fillId="0" borderId="6" xfId="1" applyFont="1" applyBorder="1" applyAlignment="1">
      <alignment wrapText="1"/>
    </xf>
    <xf numFmtId="0" fontId="0" fillId="0" borderId="9" xfId="1" applyFont="1" applyBorder="1" applyAlignment="1">
      <alignment wrapText="1"/>
    </xf>
    <xf numFmtId="176" fontId="0" fillId="0" borderId="6" xfId="1" applyNumberFormat="1" applyFont="1" applyBorder="1"/>
    <xf numFmtId="176" fontId="0" fillId="0" borderId="9" xfId="1" applyNumberFormat="1" applyFont="1" applyBorder="1"/>
    <xf numFmtId="0" fontId="2" fillId="3" borderId="1" xfId="1" applyFont="1" applyFill="1" applyBorder="1" applyAlignment="1">
      <alignment horizontal="center" vertical="center" wrapText="1"/>
    </xf>
    <xf numFmtId="0" fontId="2" fillId="3" borderId="3" xfId="1" applyFont="1" applyFill="1" applyBorder="1" applyAlignment="1">
      <alignment horizontal="center" vertical="center" wrapText="1"/>
    </xf>
    <xf numFmtId="11" fontId="0" fillId="0" borderId="0" xfId="0" applyNumberFormat="1"/>
    <xf numFmtId="176" fontId="5" fillId="4" borderId="5" xfId="1" applyNumberFormat="1" applyFont="1" applyFill="1" applyBorder="1"/>
    <xf numFmtId="0" fontId="1" fillId="2" borderId="1" xfId="1" applyFont="1" applyFill="1" applyBorder="1" applyAlignment="1">
      <alignment horizontal="center" vertical="center"/>
    </xf>
    <xf numFmtId="0" fontId="0" fillId="0" borderId="2" xfId="1" applyFont="1" applyBorder="1"/>
    <xf numFmtId="0" fontId="0" fillId="0" borderId="3" xfId="1" applyFont="1" applyBorder="1"/>
  </cellXfs>
  <cellStyles count="2">
    <cellStyle name="Normal" xfId="1" xr:uid="{00000000-0005-0000-0000-000000000000}"/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DataEntryTable" displayName="DataEntryTable" ref="A2:M77">
  <tableColumns count="13">
    <tableColumn id="1" xr3:uid="{00000000-0010-0000-0000-000001000000}" name="Model"/>
    <tableColumn id="2" xr3:uid="{00000000-0010-0000-0000-000002000000}" name="System / condition"/>
    <tableColumn id="3" xr3:uid="{00000000-0010-0000-0000-000003000000}" name="Observable"/>
    <tableColumn id="4" xr3:uid="{00000000-0010-0000-0000-000004000000}" name="Reference value"/>
    <tableColumn id="5" xr3:uid="{00000000-0010-0000-0000-000005000000}" name="Trajectory 1"/>
    <tableColumn id="6" xr3:uid="{00000000-0010-0000-0000-000006000000}" name="Trajectory 2"/>
    <tableColumn id="7" xr3:uid="{00000000-0010-0000-0000-000007000000}" name="Trajectory 3"/>
    <tableColumn id="8" xr3:uid="{00000000-0010-0000-0000-000008000000}" name="N filled"/>
    <tableColumn id="9" xr3:uid="{00000000-0010-0000-0000-000009000000}" name="Mean"/>
    <tableColumn id="10" xr3:uid="{00000000-0010-0000-0000-00000A000000}" name="Std"/>
    <tableColumn id="11" xr3:uid="{00000000-0010-0000-0000-00000B000000}" name="SEM"/>
    <tableColumn id="12" xr3:uid="{00000000-0010-0000-0000-00000C000000}" name="Unit"/>
    <tableColumn id="13" xr3:uid="{00000000-0010-0000-0000-00000D000000}" name="Notes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PlotSummaryTable" displayName="PlotSummaryTable" ref="A2:I71">
  <tableColumns count="9">
    <tableColumn id="1" xr3:uid="{00000000-0010-0000-0100-000001000000}" name="Model"/>
    <tableColumn id="2" xr3:uid="{00000000-0010-0000-0100-000002000000}" name="System / condition"/>
    <tableColumn id="3" xr3:uid="{00000000-0010-0000-0100-000003000000}" name="Observable"/>
    <tableColumn id="4" xr3:uid="{00000000-0010-0000-0100-000004000000}" name="Plot value (Mean)"/>
    <tableColumn id="5" xr3:uid="{00000000-0010-0000-0100-000005000000}" name="Error bar (SEM)"/>
    <tableColumn id="6" xr3:uid="{00000000-0010-0000-0100-000006000000}" name="Std"/>
    <tableColumn id="7" xr3:uid="{00000000-0010-0000-0100-000007000000}" name="N"/>
    <tableColumn id="8" xr3:uid="{00000000-0010-0000-0100-000008000000}" name="Unit"/>
    <tableColumn id="9" xr3:uid="{00000000-0010-0000-0100-000009000000}" name="Reference valu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77"/>
  <sheetViews>
    <sheetView tabSelected="1" zoomScale="85" zoomScaleNormal="85" workbookViewId="0">
      <selection activeCell="G18" sqref="G18"/>
    </sheetView>
  </sheetViews>
  <sheetFormatPr defaultRowHeight="14.25"/>
  <cols>
    <col min="1" max="1" width="16" customWidth="1"/>
    <col min="2" max="2" width="30" customWidth="1"/>
    <col min="3" max="3" width="14" customWidth="1"/>
    <col min="4" max="4" width="16" customWidth="1"/>
    <col min="5" max="7" width="14" customWidth="1"/>
    <col min="8" max="8" width="10" customWidth="1"/>
    <col min="9" max="11" width="12" customWidth="1"/>
    <col min="12" max="12" width="10" customWidth="1"/>
    <col min="13" max="13" width="42" customWidth="1"/>
  </cols>
  <sheetData>
    <row r="1" spans="1:13" ht="24" customHeight="1">
      <c r="A1" s="24" t="s">
        <v>0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6"/>
    </row>
    <row r="2" spans="1:13" ht="27.95" customHeight="1">
      <c r="A2" s="1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3" t="s">
        <v>13</v>
      </c>
    </row>
    <row r="3" spans="1:13">
      <c r="A3" s="12" t="s">
        <v>14</v>
      </c>
      <c r="B3" s="13" t="s">
        <v>15</v>
      </c>
      <c r="C3" s="13" t="s">
        <v>16</v>
      </c>
      <c r="D3" s="8">
        <v>0.23</v>
      </c>
      <c r="E3" s="10"/>
      <c r="F3" s="10"/>
      <c r="G3" s="10"/>
      <c r="H3" s="8">
        <f t="shared" ref="H3:H34" si="0">COUNT(E3:G3)</f>
        <v>0</v>
      </c>
      <c r="I3" s="8" t="str">
        <f t="shared" ref="I3:I34" si="1">IF(H3=0,"",AVERAGE(E3:G3))</f>
        <v/>
      </c>
      <c r="J3" s="8" t="str">
        <f>IF(H3&lt;2,"",_xludf.STDEV.S(E3:G3))</f>
        <v/>
      </c>
      <c r="K3" s="8" t="str">
        <f t="shared" ref="K3:K34" si="2">IF(H3&lt;2,"",J3/SQRT(H3))</f>
        <v/>
      </c>
      <c r="L3" s="5" t="s">
        <v>17</v>
      </c>
      <c r="M3" s="16" t="s">
        <v>18</v>
      </c>
    </row>
    <row r="4" spans="1:13">
      <c r="A4" s="12" t="s">
        <v>14</v>
      </c>
      <c r="B4" s="13" t="s">
        <v>15</v>
      </c>
      <c r="C4" s="13" t="s">
        <v>19</v>
      </c>
      <c r="D4" s="8">
        <v>0.93</v>
      </c>
      <c r="E4" s="10"/>
      <c r="F4" s="10"/>
      <c r="G4" s="10"/>
      <c r="H4" s="8">
        <f t="shared" si="0"/>
        <v>0</v>
      </c>
      <c r="I4" s="8" t="str">
        <f t="shared" si="1"/>
        <v/>
      </c>
      <c r="J4" s="8" t="str">
        <f>IF(H4&lt;2,"",_xludf.STDEV.S(E4:G4))</f>
        <v/>
      </c>
      <c r="K4" s="8" t="str">
        <f t="shared" si="2"/>
        <v/>
      </c>
      <c r="L4" s="5" t="s">
        <v>17</v>
      </c>
      <c r="M4" s="16" t="s">
        <v>20</v>
      </c>
    </row>
    <row r="5" spans="1:13">
      <c r="A5" s="12" t="s">
        <v>14</v>
      </c>
      <c r="B5" s="13" t="s">
        <v>15</v>
      </c>
      <c r="C5" s="13" t="s">
        <v>21</v>
      </c>
      <c r="D5" s="8">
        <v>0.56000000000000005</v>
      </c>
      <c r="E5" s="10"/>
      <c r="F5" s="10"/>
      <c r="G5" s="10"/>
      <c r="H5" s="8">
        <f t="shared" si="0"/>
        <v>0</v>
      </c>
      <c r="I5" s="8" t="str">
        <f t="shared" si="1"/>
        <v/>
      </c>
      <c r="J5" s="8" t="str">
        <f>IF(H5&lt;2,"",_xludf.STDEV.S(E5:G5))</f>
        <v/>
      </c>
      <c r="K5" s="8" t="str">
        <f t="shared" si="2"/>
        <v/>
      </c>
      <c r="L5" s="5" t="s">
        <v>17</v>
      </c>
      <c r="M5" s="16" t="s">
        <v>22</v>
      </c>
    </row>
    <row r="6" spans="1:13">
      <c r="A6" s="12" t="s">
        <v>23</v>
      </c>
      <c r="B6" s="13" t="s">
        <v>15</v>
      </c>
      <c r="C6" s="13" t="s">
        <v>16</v>
      </c>
      <c r="D6" s="8">
        <v>0.23</v>
      </c>
      <c r="E6" s="10">
        <v>0.25929679999999999</v>
      </c>
      <c r="F6" s="10">
        <v>0.26192579999999999</v>
      </c>
      <c r="G6" s="10">
        <v>0.26152360000000002</v>
      </c>
      <c r="H6" s="8">
        <f t="shared" si="0"/>
        <v>3</v>
      </c>
      <c r="I6" s="8">
        <f t="shared" si="1"/>
        <v>0.26091540000000002</v>
      </c>
      <c r="J6" s="8" t="e">
        <f ca="1">IF(H6&lt;2,"",_xludf.STDEV.S(E6:G6))</f>
        <v>#NAME?</v>
      </c>
      <c r="K6" s="8" t="e">
        <f t="shared" ca="1" si="2"/>
        <v>#NAME?</v>
      </c>
      <c r="L6" s="5" t="s">
        <v>17</v>
      </c>
      <c r="M6" s="16" t="s">
        <v>18</v>
      </c>
    </row>
    <row r="7" spans="1:13">
      <c r="A7" s="12" t="s">
        <v>23</v>
      </c>
      <c r="B7" s="13" t="s">
        <v>15</v>
      </c>
      <c r="C7" s="13" t="s">
        <v>19</v>
      </c>
      <c r="D7" s="8">
        <v>0.61</v>
      </c>
      <c r="E7" s="10">
        <v>1.1489792253</v>
      </c>
      <c r="F7" s="10">
        <v>1.197055644362</v>
      </c>
      <c r="G7" s="10">
        <v>0.93441377781269996</v>
      </c>
      <c r="H7" s="8">
        <f t="shared" si="0"/>
        <v>3</v>
      </c>
      <c r="I7" s="8">
        <f t="shared" si="1"/>
        <v>1.0934828824915666</v>
      </c>
      <c r="J7" s="8" t="e">
        <f ca="1">IF(H7&lt;2,"",_xludf.STDEV.S(E7:G7))</f>
        <v>#NAME?</v>
      </c>
      <c r="K7" s="8" t="e">
        <f t="shared" ca="1" si="2"/>
        <v>#NAME?</v>
      </c>
      <c r="L7" s="5" t="s">
        <v>17</v>
      </c>
      <c r="M7" s="16" t="s">
        <v>20</v>
      </c>
    </row>
    <row r="8" spans="1:13">
      <c r="A8" s="12" t="s">
        <v>23</v>
      </c>
      <c r="B8" s="13" t="s">
        <v>15</v>
      </c>
      <c r="C8" s="13" t="s">
        <v>21</v>
      </c>
      <c r="D8" s="8">
        <v>0.31</v>
      </c>
      <c r="E8" s="10">
        <v>0.45429283590000002</v>
      </c>
      <c r="F8" s="10">
        <v>0.40624723940000002</v>
      </c>
      <c r="G8" s="10">
        <v>0.36294541549999998</v>
      </c>
      <c r="H8" s="8">
        <f t="shared" si="0"/>
        <v>3</v>
      </c>
      <c r="I8" s="8">
        <f t="shared" si="1"/>
        <v>0.4078284969333334</v>
      </c>
      <c r="J8" s="8" t="e">
        <f ca="1">IF(H8&lt;2,"",_xludf.STDEV.S(E8:G8))</f>
        <v>#NAME?</v>
      </c>
      <c r="K8" s="8" t="e">
        <f t="shared" ca="1" si="2"/>
        <v>#NAME?</v>
      </c>
      <c r="L8" s="5" t="s">
        <v>17</v>
      </c>
      <c r="M8" s="16" t="s">
        <v>22</v>
      </c>
    </row>
    <row r="9" spans="1:13">
      <c r="A9" s="12" t="s">
        <v>24</v>
      </c>
      <c r="B9" s="13" t="s">
        <v>15</v>
      </c>
      <c r="C9" s="13" t="s">
        <v>16</v>
      </c>
      <c r="D9" s="8">
        <v>0.11</v>
      </c>
      <c r="E9" s="23">
        <v>5.9146530000000003E-2</v>
      </c>
      <c r="F9" s="10">
        <v>5.7525970000000003E-2</v>
      </c>
      <c r="G9" s="10">
        <v>5.8331889999999997E-2</v>
      </c>
      <c r="H9" s="8">
        <f t="shared" si="0"/>
        <v>3</v>
      </c>
      <c r="I9" s="8">
        <f t="shared" si="1"/>
        <v>5.8334796666666668E-2</v>
      </c>
      <c r="J9" s="8" t="e">
        <f ca="1">IF(H9&lt;2,"",_xludf.STDEV.S(E9:G9))</f>
        <v>#NAME?</v>
      </c>
      <c r="K9" s="8" t="e">
        <f t="shared" ca="1" si="2"/>
        <v>#NAME?</v>
      </c>
      <c r="L9" s="5" t="s">
        <v>17</v>
      </c>
      <c r="M9" s="16" t="s">
        <v>18</v>
      </c>
    </row>
    <row r="10" spans="1:13">
      <c r="A10" s="12" t="s">
        <v>24</v>
      </c>
      <c r="B10" s="13" t="s">
        <v>15</v>
      </c>
      <c r="C10" s="13" t="s">
        <v>19</v>
      </c>
      <c r="D10" s="8">
        <v>0.24</v>
      </c>
      <c r="E10" s="23">
        <v>0.13344371569819999</v>
      </c>
      <c r="F10" s="10">
        <v>0.16702822529210001</v>
      </c>
      <c r="G10" s="10">
        <v>0.13166021474940001</v>
      </c>
      <c r="H10" s="8">
        <f t="shared" si="0"/>
        <v>3</v>
      </c>
      <c r="I10" s="8">
        <f t="shared" si="1"/>
        <v>0.14404405191323333</v>
      </c>
      <c r="J10" s="8" t="e">
        <f ca="1">IF(H10&lt;2,"",_xludf.STDEV.S(E10:G10))</f>
        <v>#NAME?</v>
      </c>
      <c r="K10" s="8" t="e">
        <f t="shared" ca="1" si="2"/>
        <v>#NAME?</v>
      </c>
      <c r="L10" s="5" t="s">
        <v>17</v>
      </c>
      <c r="M10" s="16" t="s">
        <v>20</v>
      </c>
    </row>
    <row r="11" spans="1:13">
      <c r="A11" s="12" t="s">
        <v>24</v>
      </c>
      <c r="B11" s="13" t="s">
        <v>15</v>
      </c>
      <c r="C11" s="13" t="s">
        <v>21</v>
      </c>
      <c r="D11" s="8">
        <v>0.15</v>
      </c>
      <c r="E11" s="23">
        <v>0.1245099492</v>
      </c>
      <c r="F11" s="10">
        <v>0.11571757000000001</v>
      </c>
      <c r="G11" s="10">
        <v>0.10648552259999999</v>
      </c>
      <c r="H11" s="8">
        <f t="shared" si="0"/>
        <v>3</v>
      </c>
      <c r="I11" s="8">
        <f t="shared" si="1"/>
        <v>0.11557101393333334</v>
      </c>
      <c r="J11" s="8" t="e">
        <f ca="1">IF(H11&lt;2,"",_xludf.STDEV.S(E11:G11))</f>
        <v>#NAME?</v>
      </c>
      <c r="K11" s="8" t="e">
        <f t="shared" ca="1" si="2"/>
        <v>#NAME?</v>
      </c>
      <c r="L11" s="5" t="s">
        <v>17</v>
      </c>
      <c r="M11" s="16" t="s">
        <v>22</v>
      </c>
    </row>
    <row r="12" spans="1:13">
      <c r="A12" s="12" t="s">
        <v>25</v>
      </c>
      <c r="B12" s="13" t="s">
        <v>15</v>
      </c>
      <c r="C12" s="13" t="s">
        <v>16</v>
      </c>
      <c r="D12" s="8">
        <v>0.03</v>
      </c>
      <c r="E12" s="10">
        <v>3.4069530000000001E-2</v>
      </c>
      <c r="F12" s="10">
        <v>3.2584269999999999E-2</v>
      </c>
      <c r="G12" s="10">
        <v>3.4197140000000001E-2</v>
      </c>
      <c r="H12" s="8">
        <f t="shared" si="0"/>
        <v>3</v>
      </c>
      <c r="I12" s="8">
        <f t="shared" si="1"/>
        <v>3.3616979999999998E-2</v>
      </c>
      <c r="J12" s="8" t="e">
        <f ca="1">IF(H12&lt;2,"",_xludf.STDEV.S(E12:G12))</f>
        <v>#NAME?</v>
      </c>
      <c r="K12" s="8" t="e">
        <f t="shared" ca="1" si="2"/>
        <v>#NAME?</v>
      </c>
      <c r="L12" s="5" t="s">
        <v>17</v>
      </c>
      <c r="M12" s="16" t="s">
        <v>18</v>
      </c>
    </row>
    <row r="13" spans="1:13">
      <c r="A13" s="12" t="s">
        <v>25</v>
      </c>
      <c r="B13" s="13" t="s">
        <v>15</v>
      </c>
      <c r="C13" s="13" t="s">
        <v>19</v>
      </c>
      <c r="D13" s="8">
        <v>0.2</v>
      </c>
      <c r="E13" s="10">
        <v>0.20026510400870001</v>
      </c>
      <c r="F13" s="10">
        <v>0.107950550512</v>
      </c>
      <c r="G13" s="10">
        <v>0.107950550512</v>
      </c>
      <c r="H13" s="8">
        <f t="shared" si="0"/>
        <v>3</v>
      </c>
      <c r="I13" s="8">
        <f t="shared" si="1"/>
        <v>0.13872206834423331</v>
      </c>
      <c r="J13" s="8" t="e">
        <f ca="1">IF(H13&lt;2,"",_xludf.STDEV.S(E13:G13))</f>
        <v>#NAME?</v>
      </c>
      <c r="K13" s="8" t="e">
        <f t="shared" ca="1" si="2"/>
        <v>#NAME?</v>
      </c>
      <c r="L13" s="5" t="s">
        <v>17</v>
      </c>
      <c r="M13" s="16" t="s">
        <v>20</v>
      </c>
    </row>
    <row r="14" spans="1:13">
      <c r="A14" s="12" t="s">
        <v>25</v>
      </c>
      <c r="B14" s="13" t="s">
        <v>15</v>
      </c>
      <c r="C14" s="13" t="s">
        <v>21</v>
      </c>
      <c r="D14" s="8">
        <v>0.7</v>
      </c>
      <c r="E14" s="10">
        <v>0.5262422104408</v>
      </c>
      <c r="F14" s="10">
        <v>0.54689283534800004</v>
      </c>
      <c r="G14" s="10">
        <v>0.62414890784029997</v>
      </c>
      <c r="H14" s="8">
        <f t="shared" si="0"/>
        <v>3</v>
      </c>
      <c r="I14" s="8">
        <f t="shared" si="1"/>
        <v>0.56576131787636663</v>
      </c>
      <c r="J14" s="8" t="e">
        <f ca="1">IF(H14&lt;2,"",_xludf.STDEV.S(E14:G14))</f>
        <v>#NAME?</v>
      </c>
      <c r="K14" s="8" t="e">
        <f t="shared" ca="1" si="2"/>
        <v>#NAME?</v>
      </c>
      <c r="L14" s="5" t="s">
        <v>17</v>
      </c>
      <c r="M14" s="16" t="s">
        <v>22</v>
      </c>
    </row>
    <row r="15" spans="1:13">
      <c r="A15" s="12" t="s">
        <v>26</v>
      </c>
      <c r="B15" s="13" t="s">
        <v>15</v>
      </c>
      <c r="C15" s="13" t="s">
        <v>16</v>
      </c>
      <c r="D15" s="8">
        <v>7.0000000000000007E-2</v>
      </c>
      <c r="E15" s="10">
        <v>7.8360330000000006E-2</v>
      </c>
      <c r="F15" s="10">
        <v>7.6803910000000003E-2</v>
      </c>
      <c r="G15" s="10">
        <v>7.6695819999999998E-2</v>
      </c>
      <c r="H15" s="8">
        <f t="shared" si="0"/>
        <v>3</v>
      </c>
      <c r="I15" s="8">
        <f t="shared" si="1"/>
        <v>7.7286686666666674E-2</v>
      </c>
      <c r="J15" s="8" t="e">
        <f ca="1">IF(H15&lt;2,"",_xludf.STDEV.S(E15:G15))</f>
        <v>#NAME?</v>
      </c>
      <c r="K15" s="8" t="e">
        <f t="shared" ca="1" si="2"/>
        <v>#NAME?</v>
      </c>
      <c r="L15" s="5" t="s">
        <v>17</v>
      </c>
      <c r="M15" s="16" t="s">
        <v>18</v>
      </c>
    </row>
    <row r="16" spans="1:13">
      <c r="A16" s="12" t="s">
        <v>26</v>
      </c>
      <c r="B16" s="13" t="s">
        <v>15</v>
      </c>
      <c r="C16" s="13" t="s">
        <v>19</v>
      </c>
      <c r="D16" s="8">
        <v>0.6</v>
      </c>
      <c r="E16" s="10">
        <v>0.5999216686105</v>
      </c>
      <c r="F16" s="10">
        <v>0.63873263942629999</v>
      </c>
      <c r="G16" s="10">
        <v>0.67945621708920001</v>
      </c>
      <c r="H16" s="8">
        <f t="shared" si="0"/>
        <v>3</v>
      </c>
      <c r="I16" s="8">
        <f t="shared" si="1"/>
        <v>0.639370175042</v>
      </c>
      <c r="J16" s="8" t="e">
        <f ca="1">IF(H16&lt;2,"",_xludf.STDEV.S(E16:G16))</f>
        <v>#NAME?</v>
      </c>
      <c r="K16" s="8" t="e">
        <f t="shared" ca="1" si="2"/>
        <v>#NAME?</v>
      </c>
      <c r="L16" s="5" t="s">
        <v>17</v>
      </c>
      <c r="M16" s="16" t="s">
        <v>20</v>
      </c>
    </row>
    <row r="17" spans="1:13">
      <c r="A17" s="12" t="s">
        <v>26</v>
      </c>
      <c r="B17" s="13" t="s">
        <v>15</v>
      </c>
      <c r="C17" s="13" t="s">
        <v>21</v>
      </c>
      <c r="D17" s="8">
        <v>1</v>
      </c>
      <c r="E17" s="10">
        <v>0.9952939998</v>
      </c>
      <c r="F17" s="10">
        <v>1.1925242518000001</v>
      </c>
      <c r="G17" s="10">
        <v>1.0963153044</v>
      </c>
      <c r="H17" s="8">
        <f t="shared" si="0"/>
        <v>3</v>
      </c>
      <c r="I17" s="8">
        <f t="shared" si="1"/>
        <v>1.0947111853333333</v>
      </c>
      <c r="J17" s="8" t="e">
        <f ca="1">IF(H17&lt;2,"",_xludf.STDEV.S(E17:G17))</f>
        <v>#NAME?</v>
      </c>
      <c r="K17" s="8" t="e">
        <f t="shared" ca="1" si="2"/>
        <v>#NAME?</v>
      </c>
      <c r="L17" s="5" t="s">
        <v>17</v>
      </c>
      <c r="M17" s="16" t="s">
        <v>22</v>
      </c>
    </row>
    <row r="18" spans="1:13">
      <c r="A18" s="12" t="s">
        <v>27</v>
      </c>
      <c r="B18" s="13" t="s">
        <v>15</v>
      </c>
      <c r="C18" s="13" t="s">
        <v>16</v>
      </c>
      <c r="D18" s="8">
        <v>0.03</v>
      </c>
      <c r="E18" s="10">
        <v>2.913141E-2</v>
      </c>
      <c r="F18" s="10">
        <v>3.0369150000000001E-2</v>
      </c>
      <c r="G18" s="10">
        <v>2.7535210000000001E-2</v>
      </c>
      <c r="H18" s="8">
        <f t="shared" si="0"/>
        <v>3</v>
      </c>
      <c r="I18" s="8">
        <f t="shared" si="1"/>
        <v>2.9011923333333332E-2</v>
      </c>
      <c r="J18" s="8" t="e">
        <f ca="1">IF(H18&lt;2,"",_xludf.STDEV.S(E18:G18))</f>
        <v>#NAME?</v>
      </c>
      <c r="K18" s="8" t="e">
        <f t="shared" ca="1" si="2"/>
        <v>#NAME?</v>
      </c>
      <c r="L18" s="5" t="s">
        <v>17</v>
      </c>
      <c r="M18" s="16" t="s">
        <v>18</v>
      </c>
    </row>
    <row r="19" spans="1:13">
      <c r="A19" s="12" t="s">
        <v>27</v>
      </c>
      <c r="B19" s="13" t="s">
        <v>15</v>
      </c>
      <c r="C19" s="13" t="s">
        <v>19</v>
      </c>
      <c r="D19" s="8">
        <v>0.57999999999999996</v>
      </c>
      <c r="E19" s="10">
        <v>0.72868990891340002</v>
      </c>
      <c r="F19" s="10">
        <v>0.4016786318076</v>
      </c>
      <c r="G19" s="10">
        <v>0.47439946915699999</v>
      </c>
      <c r="H19" s="8">
        <f t="shared" si="0"/>
        <v>3</v>
      </c>
      <c r="I19" s="8">
        <f t="shared" si="1"/>
        <v>0.53492266995933335</v>
      </c>
      <c r="J19" s="8" t="e">
        <f ca="1">IF(H19&lt;2,"",_xludf.STDEV.S(E19:G19))</f>
        <v>#NAME?</v>
      </c>
      <c r="K19" s="8" t="e">
        <f t="shared" ca="1" si="2"/>
        <v>#NAME?</v>
      </c>
      <c r="L19" s="5" t="s">
        <v>17</v>
      </c>
      <c r="M19" s="16" t="s">
        <v>20</v>
      </c>
    </row>
    <row r="20" spans="1:13">
      <c r="A20" s="12" t="s">
        <v>27</v>
      </c>
      <c r="B20" s="13" t="s">
        <v>15</v>
      </c>
      <c r="C20" s="13" t="s">
        <v>21</v>
      </c>
      <c r="D20" s="8">
        <v>1.1299999999999999</v>
      </c>
      <c r="E20" s="10">
        <v>1.1097257055330001</v>
      </c>
      <c r="F20" s="10">
        <v>1.2661110820929999</v>
      </c>
      <c r="G20" s="10">
        <v>1.0490316609179999</v>
      </c>
      <c r="H20" s="8">
        <f t="shared" si="0"/>
        <v>3</v>
      </c>
      <c r="I20" s="8">
        <f t="shared" si="1"/>
        <v>1.1416228161813333</v>
      </c>
      <c r="J20" s="8" t="e">
        <f ca="1">IF(H20&lt;2,"",_xludf.STDEV.S(E20:G20))</f>
        <v>#NAME?</v>
      </c>
      <c r="K20" s="8" t="e">
        <f t="shared" ca="1" si="2"/>
        <v>#NAME?</v>
      </c>
      <c r="L20" s="5" t="s">
        <v>17</v>
      </c>
      <c r="M20" s="16" t="s">
        <v>22</v>
      </c>
    </row>
    <row r="21" spans="1:13">
      <c r="A21" s="12" t="s">
        <v>28</v>
      </c>
      <c r="B21" s="13" t="s">
        <v>15</v>
      </c>
      <c r="C21" s="13" t="s">
        <v>16</v>
      </c>
      <c r="D21" s="8">
        <v>0.27</v>
      </c>
      <c r="E21" s="10">
        <v>0.32768409999999998</v>
      </c>
      <c r="F21" s="10">
        <v>0.31227149999999998</v>
      </c>
      <c r="G21" s="10">
        <v>0.32154840000000001</v>
      </c>
      <c r="H21" s="8">
        <f t="shared" si="0"/>
        <v>3</v>
      </c>
      <c r="I21" s="8">
        <f t="shared" si="1"/>
        <v>0.3205013333333333</v>
      </c>
      <c r="J21" s="8" t="e">
        <f ca="1">IF(H21&lt;2,"",_xludf.STDEV.S(E21:G21))</f>
        <v>#NAME?</v>
      </c>
      <c r="K21" s="8" t="e">
        <f t="shared" ca="1" si="2"/>
        <v>#NAME?</v>
      </c>
      <c r="L21" s="5" t="s">
        <v>17</v>
      </c>
      <c r="M21" s="16" t="s">
        <v>18</v>
      </c>
    </row>
    <row r="22" spans="1:13">
      <c r="A22" s="12" t="s">
        <v>28</v>
      </c>
      <c r="B22" s="13" t="s">
        <v>15</v>
      </c>
      <c r="C22" s="13" t="s">
        <v>19</v>
      </c>
      <c r="D22" s="8">
        <v>0.95</v>
      </c>
      <c r="E22" s="10">
        <v>1.005041875588</v>
      </c>
      <c r="F22" s="10">
        <v>0.87643339030330003</v>
      </c>
      <c r="G22" s="10">
        <v>1.188501226913</v>
      </c>
      <c r="H22" s="8">
        <f t="shared" si="0"/>
        <v>3</v>
      </c>
      <c r="I22" s="8">
        <f t="shared" si="1"/>
        <v>1.0233254976014334</v>
      </c>
      <c r="J22" s="8" t="e">
        <f ca="1">IF(H22&lt;2,"",_xludf.STDEV.S(E22:G22))</f>
        <v>#NAME?</v>
      </c>
      <c r="K22" s="8" t="e">
        <f t="shared" ca="1" si="2"/>
        <v>#NAME?</v>
      </c>
      <c r="L22" s="5" t="s">
        <v>17</v>
      </c>
      <c r="M22" s="16" t="s">
        <v>20</v>
      </c>
    </row>
    <row r="23" spans="1:13">
      <c r="A23" s="12" t="s">
        <v>28</v>
      </c>
      <c r="B23" s="13" t="s">
        <v>15</v>
      </c>
      <c r="C23" s="13" t="s">
        <v>21</v>
      </c>
      <c r="D23" s="8">
        <v>0.98</v>
      </c>
      <c r="E23" s="10">
        <v>0.6425559274</v>
      </c>
      <c r="F23" s="10">
        <v>0.73561066249999996</v>
      </c>
      <c r="G23" s="10">
        <v>0.7851741699</v>
      </c>
      <c r="H23" s="8">
        <f t="shared" si="0"/>
        <v>3</v>
      </c>
      <c r="I23" s="8">
        <f t="shared" si="1"/>
        <v>0.72111358660000002</v>
      </c>
      <c r="J23" s="8" t="e">
        <f ca="1">IF(H23&lt;2,"",_xludf.STDEV.S(E23:G23))</f>
        <v>#NAME?</v>
      </c>
      <c r="K23" s="8" t="e">
        <f t="shared" ca="1" si="2"/>
        <v>#NAME?</v>
      </c>
      <c r="L23" s="5" t="s">
        <v>17</v>
      </c>
      <c r="M23" s="16" t="s">
        <v>22</v>
      </c>
    </row>
    <row r="24" spans="1:13">
      <c r="A24" s="12" t="s">
        <v>29</v>
      </c>
      <c r="B24" s="13" t="s">
        <v>15</v>
      </c>
      <c r="C24" s="13" t="s">
        <v>16</v>
      </c>
      <c r="D24" s="8">
        <v>0.14000000000000001</v>
      </c>
      <c r="E24" s="8">
        <v>0.14000000000000001</v>
      </c>
      <c r="F24" s="10"/>
      <c r="G24" s="10"/>
      <c r="H24" s="8">
        <f t="shared" si="0"/>
        <v>1</v>
      </c>
      <c r="I24" s="8">
        <f t="shared" si="1"/>
        <v>0.14000000000000001</v>
      </c>
      <c r="J24" s="8" t="str">
        <f>IF(H24&lt;2,"",_xludf.STDEV.S(E24:G24))</f>
        <v/>
      </c>
      <c r="K24" s="8" t="str">
        <f t="shared" si="2"/>
        <v/>
      </c>
      <c r="L24" s="5" t="s">
        <v>17</v>
      </c>
      <c r="M24" s="16" t="s">
        <v>18</v>
      </c>
    </row>
    <row r="25" spans="1:13">
      <c r="A25" s="12" t="s">
        <v>29</v>
      </c>
      <c r="B25" s="13" t="s">
        <v>15</v>
      </c>
      <c r="C25" s="13" t="s">
        <v>19</v>
      </c>
      <c r="D25" s="8">
        <v>0.08</v>
      </c>
      <c r="E25" s="10">
        <v>7.70740888928E-2</v>
      </c>
      <c r="F25" s="10"/>
      <c r="G25" s="10"/>
      <c r="H25" s="8">
        <f t="shared" si="0"/>
        <v>1</v>
      </c>
      <c r="I25" s="8">
        <f t="shared" si="1"/>
        <v>7.70740888928E-2</v>
      </c>
      <c r="J25" s="8" t="str">
        <f>IF(H25&lt;2,"",_xludf.STDEV.S(E25:G25))</f>
        <v/>
      </c>
      <c r="K25" s="8" t="str">
        <f t="shared" si="2"/>
        <v/>
      </c>
      <c r="L25" s="5" t="s">
        <v>17</v>
      </c>
      <c r="M25" s="16" t="s">
        <v>20</v>
      </c>
    </row>
    <row r="26" spans="1:13">
      <c r="A26" s="12" t="s">
        <v>29</v>
      </c>
      <c r="B26" s="13" t="s">
        <v>15</v>
      </c>
      <c r="C26" s="13" t="s">
        <v>21</v>
      </c>
      <c r="D26" s="8">
        <v>0.33</v>
      </c>
      <c r="E26" s="8">
        <v>0.33</v>
      </c>
      <c r="F26" s="10"/>
      <c r="G26" s="10"/>
      <c r="H26" s="8">
        <f t="shared" si="0"/>
        <v>1</v>
      </c>
      <c r="I26" s="8">
        <f t="shared" si="1"/>
        <v>0.33</v>
      </c>
      <c r="J26" s="8" t="str">
        <f>IF(H26&lt;2,"",_xludf.STDEV.S(E26:G26))</f>
        <v/>
      </c>
      <c r="K26" s="8" t="str">
        <f t="shared" si="2"/>
        <v/>
      </c>
      <c r="L26" s="5" t="s">
        <v>17</v>
      </c>
      <c r="M26" s="16" t="s">
        <v>22</v>
      </c>
    </row>
    <row r="27" spans="1:13">
      <c r="A27" s="12" t="s">
        <v>30</v>
      </c>
      <c r="B27" s="13" t="s">
        <v>15</v>
      </c>
      <c r="C27" s="13" t="s">
        <v>16</v>
      </c>
      <c r="D27" s="8">
        <v>0</v>
      </c>
      <c r="E27" s="10">
        <v>9.1569870000000001E-3</v>
      </c>
      <c r="F27" s="10">
        <v>1.160543E-2</v>
      </c>
      <c r="G27" s="10"/>
      <c r="H27" s="8">
        <f t="shared" si="0"/>
        <v>2</v>
      </c>
      <c r="I27" s="8">
        <f t="shared" si="1"/>
        <v>1.0381208499999999E-2</v>
      </c>
      <c r="J27" s="8" t="e">
        <f ca="1">IF(H27&lt;2,"",_xludf.STDEV.S(E27:G27))</f>
        <v>#NAME?</v>
      </c>
      <c r="K27" s="8" t="e">
        <f t="shared" ca="1" si="2"/>
        <v>#NAME?</v>
      </c>
      <c r="L27" s="5" t="s">
        <v>17</v>
      </c>
      <c r="M27" s="16" t="s">
        <v>18</v>
      </c>
    </row>
    <row r="28" spans="1:13">
      <c r="A28" s="12" t="s">
        <v>30</v>
      </c>
      <c r="B28" s="13" t="s">
        <v>15</v>
      </c>
      <c r="C28" s="13" t="s">
        <v>19</v>
      </c>
      <c r="D28" s="8">
        <v>0.02</v>
      </c>
      <c r="E28" s="10">
        <v>1.7222853409090001E-2</v>
      </c>
      <c r="F28" s="10"/>
      <c r="G28" s="10"/>
      <c r="H28" s="8">
        <f t="shared" si="0"/>
        <v>1</v>
      </c>
      <c r="I28" s="8">
        <f t="shared" si="1"/>
        <v>1.7222853409090001E-2</v>
      </c>
      <c r="J28" s="8" t="str">
        <f>IF(H28&lt;2,"",_xludf.STDEV.S(E28:G28))</f>
        <v/>
      </c>
      <c r="K28" s="8" t="str">
        <f t="shared" si="2"/>
        <v/>
      </c>
      <c r="L28" s="5" t="s">
        <v>17</v>
      </c>
      <c r="M28" s="16" t="s">
        <v>20</v>
      </c>
    </row>
    <row r="29" spans="1:13">
      <c r="A29" s="12" t="s">
        <v>30</v>
      </c>
      <c r="B29" s="13" t="s">
        <v>15</v>
      </c>
      <c r="C29" s="13" t="s">
        <v>21</v>
      </c>
      <c r="D29" s="8">
        <v>0.18</v>
      </c>
      <c r="E29" s="10">
        <v>0.1800471448</v>
      </c>
      <c r="F29" s="10"/>
      <c r="G29" s="10"/>
      <c r="H29" s="8">
        <f t="shared" si="0"/>
        <v>1</v>
      </c>
      <c r="I29" s="8">
        <f t="shared" si="1"/>
        <v>0.1800471448</v>
      </c>
      <c r="J29" s="8" t="str">
        <f>IF(H29&lt;2,"",_xludf.STDEV.S(E29:G29))</f>
        <v/>
      </c>
      <c r="K29" s="8" t="str">
        <f t="shared" si="2"/>
        <v/>
      </c>
      <c r="L29" s="5" t="s">
        <v>17</v>
      </c>
      <c r="M29" s="16" t="s">
        <v>22</v>
      </c>
    </row>
    <row r="30" spans="1:13">
      <c r="A30" s="12" t="s">
        <v>31</v>
      </c>
      <c r="B30" s="13" t="s">
        <v>32</v>
      </c>
      <c r="C30" s="13" t="s">
        <v>33</v>
      </c>
      <c r="D30" s="8">
        <v>0.9</v>
      </c>
      <c r="E30" s="8">
        <v>0.9</v>
      </c>
      <c r="F30" s="10"/>
      <c r="G30" s="10"/>
      <c r="H30" s="8">
        <f t="shared" si="0"/>
        <v>1</v>
      </c>
      <c r="I30" s="8">
        <f t="shared" si="1"/>
        <v>0.9</v>
      </c>
      <c r="J30" s="8" t="str">
        <f>IF(H30&lt;2,"",_xludf.STDEV.S(E30:G30))</f>
        <v/>
      </c>
      <c r="K30" s="8" t="str">
        <f t="shared" si="2"/>
        <v/>
      </c>
      <c r="L30" s="5" t="s">
        <v>17</v>
      </c>
      <c r="M30" s="16" t="s">
        <v>34</v>
      </c>
    </row>
    <row r="31" spans="1:13">
      <c r="A31" s="12" t="s">
        <v>31</v>
      </c>
      <c r="B31" s="13" t="s">
        <v>32</v>
      </c>
      <c r="C31" s="13" t="s">
        <v>35</v>
      </c>
      <c r="D31" s="8">
        <v>0.9</v>
      </c>
      <c r="E31" s="8">
        <v>0.9</v>
      </c>
      <c r="F31" s="10"/>
      <c r="G31" s="10"/>
      <c r="H31" s="8">
        <f t="shared" si="0"/>
        <v>1</v>
      </c>
      <c r="I31" s="8">
        <f t="shared" si="1"/>
        <v>0.9</v>
      </c>
      <c r="J31" s="8" t="str">
        <f>IF(H31&lt;2,"",_xludf.STDEV.S(E31:G31))</f>
        <v/>
      </c>
      <c r="K31" s="8" t="str">
        <f t="shared" si="2"/>
        <v/>
      </c>
      <c r="L31" s="5" t="s">
        <v>17</v>
      </c>
      <c r="M31" s="16" t="s">
        <v>36</v>
      </c>
    </row>
    <row r="32" spans="1:13">
      <c r="A32" s="12" t="s">
        <v>31</v>
      </c>
      <c r="B32" s="13" t="s">
        <v>32</v>
      </c>
      <c r="C32" s="13" t="s">
        <v>37</v>
      </c>
      <c r="D32" s="8">
        <v>1.57</v>
      </c>
      <c r="E32" s="8">
        <v>1.57</v>
      </c>
      <c r="F32" s="10"/>
      <c r="G32" s="10"/>
      <c r="H32" s="8">
        <f t="shared" si="0"/>
        <v>1</v>
      </c>
      <c r="I32" s="8">
        <f t="shared" si="1"/>
        <v>1.57</v>
      </c>
      <c r="J32" s="8" t="str">
        <f>IF(H32&lt;2,"",_xludf.STDEV.S(E32:G32))</f>
        <v/>
      </c>
      <c r="K32" s="8" t="str">
        <f t="shared" si="2"/>
        <v/>
      </c>
      <c r="L32" s="5" t="s">
        <v>38</v>
      </c>
      <c r="M32" s="16" t="s">
        <v>39</v>
      </c>
    </row>
    <row r="33" spans="1:13">
      <c r="A33" s="12" t="s">
        <v>23</v>
      </c>
      <c r="B33" s="13" t="s">
        <v>32</v>
      </c>
      <c r="C33" s="13" t="s">
        <v>33</v>
      </c>
      <c r="D33" s="8">
        <v>0.8</v>
      </c>
      <c r="E33" s="10">
        <v>0.8917845250834</v>
      </c>
      <c r="F33" s="10">
        <v>0.85641091119400004</v>
      </c>
      <c r="G33" s="10">
        <v>0.89102725925509996</v>
      </c>
      <c r="H33" s="8">
        <f t="shared" si="0"/>
        <v>3</v>
      </c>
      <c r="I33" s="8">
        <f t="shared" si="1"/>
        <v>0.87974089851083326</v>
      </c>
      <c r="J33" s="8" t="e">
        <f ca="1">IF(H33&lt;2,"",_xludf.STDEV.S(E33:G33))</f>
        <v>#NAME?</v>
      </c>
      <c r="K33" s="8" t="e">
        <f t="shared" ca="1" si="2"/>
        <v>#NAME?</v>
      </c>
      <c r="L33" s="5" t="s">
        <v>17</v>
      </c>
      <c r="M33" s="16" t="s">
        <v>34</v>
      </c>
    </row>
    <row r="34" spans="1:13">
      <c r="A34" s="12" t="s">
        <v>23</v>
      </c>
      <c r="B34" s="13" t="s">
        <v>32</v>
      </c>
      <c r="C34" s="13" t="s">
        <v>35</v>
      </c>
      <c r="D34" s="8">
        <v>0.82</v>
      </c>
      <c r="E34" s="10">
        <v>0.92982226349639996</v>
      </c>
      <c r="F34" s="10">
        <v>0.9012750479878</v>
      </c>
      <c r="G34" s="10">
        <v>0.9505897808182</v>
      </c>
      <c r="H34" s="8">
        <f t="shared" si="0"/>
        <v>3</v>
      </c>
      <c r="I34" s="8">
        <f t="shared" si="1"/>
        <v>0.92722903076746677</v>
      </c>
      <c r="J34" s="8" t="e">
        <f ca="1">IF(H34&lt;2,"",_xludf.STDEV.S(E34:G34))</f>
        <v>#NAME?</v>
      </c>
      <c r="K34" s="8" t="e">
        <f t="shared" ca="1" si="2"/>
        <v>#NAME?</v>
      </c>
      <c r="L34" s="5" t="s">
        <v>17</v>
      </c>
      <c r="M34" s="16" t="s">
        <v>36</v>
      </c>
    </row>
    <row r="35" spans="1:13">
      <c r="A35" s="12" t="s">
        <v>23</v>
      </c>
      <c r="B35" s="13" t="s">
        <v>32</v>
      </c>
      <c r="C35" s="13" t="s">
        <v>37</v>
      </c>
      <c r="D35" s="8">
        <v>1.69</v>
      </c>
      <c r="E35" s="10">
        <v>1.676567683</v>
      </c>
      <c r="F35" s="10">
        <v>1.6790214269999999</v>
      </c>
      <c r="G35" s="10">
        <v>1.677379664</v>
      </c>
      <c r="H35" s="8">
        <f t="shared" ref="H35:H66" si="3">COUNT(E35:G35)</f>
        <v>3</v>
      </c>
      <c r="I35" s="8">
        <f t="shared" ref="I35:I66" si="4">IF(H35=0,"",AVERAGE(E35:G35))</f>
        <v>1.6776562580000001</v>
      </c>
      <c r="J35" s="8" t="e">
        <f ca="1">IF(H35&lt;2,"",_xludf.STDEV.S(E35:G35))</f>
        <v>#NAME?</v>
      </c>
      <c r="K35" s="8" t="e">
        <f t="shared" ref="K35:K66" ca="1" si="5">IF(H35&lt;2,"",J35/SQRT(H35))</f>
        <v>#NAME?</v>
      </c>
      <c r="L35" s="5" t="s">
        <v>38</v>
      </c>
      <c r="M35" s="16" t="s">
        <v>39</v>
      </c>
    </row>
    <row r="36" spans="1:13">
      <c r="A36" s="12" t="s">
        <v>25</v>
      </c>
      <c r="B36" s="13" t="s">
        <v>32</v>
      </c>
      <c r="C36" s="13" t="s">
        <v>33</v>
      </c>
      <c r="D36" s="8">
        <v>0.73</v>
      </c>
      <c r="E36" s="10">
        <v>0.73431989737610004</v>
      </c>
      <c r="F36" s="10">
        <v>0.70347859763730003</v>
      </c>
      <c r="G36" s="10">
        <v>0.72361407369429998</v>
      </c>
      <c r="H36" s="8">
        <f t="shared" si="3"/>
        <v>3</v>
      </c>
      <c r="I36" s="8">
        <f t="shared" si="4"/>
        <v>0.72047085623590001</v>
      </c>
      <c r="J36" s="8" t="e">
        <f ca="1">IF(H36&lt;2,"",_xludf.STDEV.S(E36:G36))</f>
        <v>#NAME?</v>
      </c>
      <c r="K36" s="8" t="e">
        <f t="shared" ca="1" si="5"/>
        <v>#NAME?</v>
      </c>
      <c r="L36" s="5" t="s">
        <v>17</v>
      </c>
      <c r="M36" s="16" t="s">
        <v>34</v>
      </c>
    </row>
    <row r="37" spans="1:13">
      <c r="A37" s="12" t="s">
        <v>25</v>
      </c>
      <c r="B37" s="13" t="s">
        <v>32</v>
      </c>
      <c r="C37" s="13" t="s">
        <v>35</v>
      </c>
      <c r="D37" s="8">
        <v>0.78</v>
      </c>
      <c r="E37" s="10">
        <v>0.79225433307219995</v>
      </c>
      <c r="F37" s="10">
        <v>0.76719594599730001</v>
      </c>
      <c r="G37" s="10">
        <v>0.77485989017589996</v>
      </c>
      <c r="H37" s="8">
        <f t="shared" si="3"/>
        <v>3</v>
      </c>
      <c r="I37" s="8">
        <f t="shared" si="4"/>
        <v>0.7781033897484666</v>
      </c>
      <c r="J37" s="8" t="e">
        <f ca="1">IF(H37&lt;2,"",_xludf.STDEV.S(E37:G37))</f>
        <v>#NAME?</v>
      </c>
      <c r="K37" s="8" t="e">
        <f t="shared" ca="1" si="5"/>
        <v>#NAME?</v>
      </c>
      <c r="L37" s="5" t="s">
        <v>17</v>
      </c>
      <c r="M37" s="16" t="s">
        <v>36</v>
      </c>
    </row>
    <row r="38" spans="1:13">
      <c r="A38" s="12" t="s">
        <v>25</v>
      </c>
      <c r="B38" s="13" t="s">
        <v>32</v>
      </c>
      <c r="C38" s="13" t="s">
        <v>37</v>
      </c>
      <c r="D38" s="8">
        <v>1.61</v>
      </c>
      <c r="E38" s="10">
        <v>1.6081778353230001</v>
      </c>
      <c r="F38" s="10">
        <v>1.608830532836</v>
      </c>
      <c r="G38" s="10">
        <v>1.6077531149249999</v>
      </c>
      <c r="H38" s="8">
        <f t="shared" si="3"/>
        <v>3</v>
      </c>
      <c r="I38" s="8">
        <f t="shared" si="4"/>
        <v>1.6082538276946667</v>
      </c>
      <c r="J38" s="8" t="e">
        <f ca="1">IF(H38&lt;2,"",_xludf.STDEV.S(E38:G38))</f>
        <v>#NAME?</v>
      </c>
      <c r="K38" s="8" t="e">
        <f t="shared" ca="1" si="5"/>
        <v>#NAME?</v>
      </c>
      <c r="L38" s="5" t="s">
        <v>38</v>
      </c>
      <c r="M38" s="16" t="s">
        <v>39</v>
      </c>
    </row>
    <row r="39" spans="1:13">
      <c r="A39" s="12" t="s">
        <v>26</v>
      </c>
      <c r="B39" s="13" t="s">
        <v>32</v>
      </c>
      <c r="C39" s="13" t="s">
        <v>33</v>
      </c>
      <c r="D39" s="8">
        <v>0.69</v>
      </c>
      <c r="E39" s="10">
        <v>0.67472438818790004</v>
      </c>
      <c r="F39" s="10">
        <v>0.69677532184320001</v>
      </c>
      <c r="G39" s="10">
        <v>0.69710989837089998</v>
      </c>
      <c r="H39" s="8">
        <f t="shared" si="3"/>
        <v>3</v>
      </c>
      <c r="I39" s="8">
        <f t="shared" si="4"/>
        <v>0.68953653613400012</v>
      </c>
      <c r="J39" s="8" t="e">
        <f ca="1">IF(H39&lt;2,"",_xludf.STDEV.S(E39:G39))</f>
        <v>#NAME?</v>
      </c>
      <c r="K39" s="8" t="e">
        <f t="shared" ca="1" si="5"/>
        <v>#NAME?</v>
      </c>
      <c r="L39" s="5" t="s">
        <v>17</v>
      </c>
      <c r="M39" s="16" t="s">
        <v>34</v>
      </c>
    </row>
    <row r="40" spans="1:13">
      <c r="A40" s="12" t="s">
        <v>26</v>
      </c>
      <c r="B40" s="13" t="s">
        <v>32</v>
      </c>
      <c r="C40" s="13" t="s">
        <v>35</v>
      </c>
      <c r="D40" s="8">
        <v>0.72</v>
      </c>
      <c r="E40" s="10">
        <v>0.70866781629429998</v>
      </c>
      <c r="F40" s="10">
        <v>0.71971659080200001</v>
      </c>
      <c r="G40" s="10">
        <v>0.72633706760060002</v>
      </c>
      <c r="H40" s="8">
        <f t="shared" si="3"/>
        <v>3</v>
      </c>
      <c r="I40" s="8">
        <f t="shared" si="4"/>
        <v>0.7182404915656333</v>
      </c>
      <c r="J40" s="8" t="e">
        <f ca="1">IF(H40&lt;2,"",_xludf.STDEV.S(E40:G40))</f>
        <v>#NAME?</v>
      </c>
      <c r="K40" s="8" t="e">
        <f t="shared" ca="1" si="5"/>
        <v>#NAME?</v>
      </c>
      <c r="L40" s="5" t="s">
        <v>17</v>
      </c>
      <c r="M40" s="16" t="s">
        <v>36</v>
      </c>
    </row>
    <row r="41" spans="1:13">
      <c r="A41" s="12" t="s">
        <v>26</v>
      </c>
      <c r="B41" s="13" t="s">
        <v>32</v>
      </c>
      <c r="C41" s="13" t="s">
        <v>37</v>
      </c>
      <c r="D41" s="8">
        <v>1.66</v>
      </c>
      <c r="E41" s="10">
        <v>1.6621947874559999</v>
      </c>
      <c r="F41" s="10">
        <v>1.662061098351</v>
      </c>
      <c r="G41" s="10">
        <v>1.6619630523740001</v>
      </c>
      <c r="H41" s="8">
        <f t="shared" si="3"/>
        <v>3</v>
      </c>
      <c r="I41" s="8">
        <f t="shared" si="4"/>
        <v>1.6620729793936668</v>
      </c>
      <c r="J41" s="8" t="e">
        <f ca="1">IF(H41&lt;2,"",_xludf.STDEV.S(E41:G41))</f>
        <v>#NAME?</v>
      </c>
      <c r="K41" s="8" t="e">
        <f t="shared" ca="1" si="5"/>
        <v>#NAME?</v>
      </c>
      <c r="L41" s="5" t="s">
        <v>38</v>
      </c>
      <c r="M41" s="16" t="s">
        <v>39</v>
      </c>
    </row>
    <row r="42" spans="1:13">
      <c r="A42" s="12" t="s">
        <v>27</v>
      </c>
      <c r="B42" s="13" t="s">
        <v>32</v>
      </c>
      <c r="C42" s="13" t="s">
        <v>33</v>
      </c>
      <c r="D42" s="8">
        <v>0.74</v>
      </c>
      <c r="E42" s="10">
        <v>0.80259594650160004</v>
      </c>
      <c r="F42" s="10">
        <v>0.78953314328129998</v>
      </c>
      <c r="G42" s="10">
        <v>0.77876549148270002</v>
      </c>
      <c r="H42" s="8">
        <f t="shared" si="3"/>
        <v>3</v>
      </c>
      <c r="I42" s="8">
        <f t="shared" si="4"/>
        <v>0.79029819375519994</v>
      </c>
      <c r="J42" s="8" t="e">
        <f ca="1">IF(H42&lt;2,"",_xludf.STDEV.S(E42:G42))</f>
        <v>#NAME?</v>
      </c>
      <c r="K42" s="8" t="e">
        <f t="shared" ca="1" si="5"/>
        <v>#NAME?</v>
      </c>
      <c r="L42" s="5" t="s">
        <v>17</v>
      </c>
      <c r="M42" s="16" t="s">
        <v>34</v>
      </c>
    </row>
    <row r="43" spans="1:13">
      <c r="A43" s="12" t="s">
        <v>27</v>
      </c>
      <c r="B43" s="13" t="s">
        <v>32</v>
      </c>
      <c r="C43" s="13" t="s">
        <v>35</v>
      </c>
      <c r="D43" s="8">
        <v>0.8</v>
      </c>
      <c r="E43" s="10">
        <v>0.80259594650160004</v>
      </c>
      <c r="F43" s="10">
        <v>0.78953314328129998</v>
      </c>
      <c r="G43" s="10">
        <v>0.77876549148270002</v>
      </c>
      <c r="H43" s="8">
        <f t="shared" si="3"/>
        <v>3</v>
      </c>
      <c r="I43" s="8">
        <f t="shared" si="4"/>
        <v>0.79029819375519994</v>
      </c>
      <c r="J43" s="8" t="e">
        <f ca="1">IF(H43&lt;2,"",_xludf.STDEV.S(E43:G43))</f>
        <v>#NAME?</v>
      </c>
      <c r="K43" s="8" t="e">
        <f t="shared" ca="1" si="5"/>
        <v>#NAME?</v>
      </c>
      <c r="L43" s="5" t="s">
        <v>17</v>
      </c>
      <c r="M43" s="16" t="s">
        <v>36</v>
      </c>
    </row>
    <row r="44" spans="1:13">
      <c r="A44" s="12" t="s">
        <v>27</v>
      </c>
      <c r="B44" s="13" t="s">
        <v>32</v>
      </c>
      <c r="C44" s="13" t="s">
        <v>37</v>
      </c>
      <c r="D44" s="8">
        <v>1.57</v>
      </c>
      <c r="E44" s="8">
        <v>1.57</v>
      </c>
      <c r="F44" s="8">
        <v>1.57</v>
      </c>
      <c r="G44" s="8">
        <v>1.57</v>
      </c>
      <c r="H44" s="8">
        <f t="shared" si="3"/>
        <v>3</v>
      </c>
      <c r="I44" s="8">
        <f t="shared" si="4"/>
        <v>1.57</v>
      </c>
      <c r="J44" s="8" t="e">
        <f ca="1">IF(H44&lt;2,"",_xludf.STDEV.S(E44:G44))</f>
        <v>#NAME?</v>
      </c>
      <c r="K44" s="8" t="e">
        <f t="shared" ca="1" si="5"/>
        <v>#NAME?</v>
      </c>
      <c r="L44" s="5" t="s">
        <v>38</v>
      </c>
      <c r="M44" s="16" t="s">
        <v>39</v>
      </c>
    </row>
    <row r="45" spans="1:13">
      <c r="A45" s="12" t="s">
        <v>28</v>
      </c>
      <c r="B45" s="13" t="s">
        <v>32</v>
      </c>
      <c r="C45" s="13" t="s">
        <v>33</v>
      </c>
      <c r="D45" s="8">
        <v>0.72</v>
      </c>
      <c r="E45" s="10">
        <v>0.70589351170890002</v>
      </c>
      <c r="F45" s="10">
        <v>0.69168828330669996</v>
      </c>
      <c r="G45" s="10">
        <v>0.74203726746700005</v>
      </c>
      <c r="H45" s="8">
        <f t="shared" si="3"/>
        <v>3</v>
      </c>
      <c r="I45" s="8">
        <f t="shared" si="4"/>
        <v>0.71320635416086675</v>
      </c>
      <c r="J45" s="8" t="e">
        <f ca="1">IF(H45&lt;2,"",_xludf.STDEV.S(E45:G45))</f>
        <v>#NAME?</v>
      </c>
      <c r="K45" s="8" t="e">
        <f t="shared" ca="1" si="5"/>
        <v>#NAME?</v>
      </c>
      <c r="L45" s="5" t="s">
        <v>17</v>
      </c>
      <c r="M45" s="16" t="s">
        <v>34</v>
      </c>
    </row>
    <row r="46" spans="1:13">
      <c r="A46" s="12" t="s">
        <v>28</v>
      </c>
      <c r="B46" s="13" t="s">
        <v>32</v>
      </c>
      <c r="C46" s="13" t="s">
        <v>35</v>
      </c>
      <c r="D46" s="8">
        <v>0.72</v>
      </c>
      <c r="E46" s="10">
        <v>0.70633458480389999</v>
      </c>
      <c r="F46" s="10">
        <v>0.6910940287149</v>
      </c>
      <c r="G46" s="10">
        <v>0.74181191918769995</v>
      </c>
      <c r="H46" s="8">
        <f t="shared" si="3"/>
        <v>3</v>
      </c>
      <c r="I46" s="8">
        <f t="shared" si="4"/>
        <v>0.71308017756883324</v>
      </c>
      <c r="J46" s="8" t="e">
        <f ca="1">IF(H46&lt;2,"",_xludf.STDEV.S(E46:G46))</f>
        <v>#NAME?</v>
      </c>
      <c r="K46" s="8" t="e">
        <f t="shared" ca="1" si="5"/>
        <v>#NAME?</v>
      </c>
      <c r="L46" s="5" t="s">
        <v>17</v>
      </c>
      <c r="M46" s="16" t="s">
        <v>36</v>
      </c>
    </row>
    <row r="47" spans="1:13">
      <c r="A47" s="12" t="s">
        <v>28</v>
      </c>
      <c r="B47" s="13" t="s">
        <v>32</v>
      </c>
      <c r="C47" s="13" t="s">
        <v>37</v>
      </c>
      <c r="D47" s="8">
        <v>1.68</v>
      </c>
      <c r="E47" s="10">
        <v>1.6740125453570001</v>
      </c>
      <c r="F47" s="10">
        <v>1.6739186305960001</v>
      </c>
      <c r="G47" s="10">
        <v>1.6740048690789999</v>
      </c>
      <c r="H47" s="8">
        <f t="shared" si="3"/>
        <v>3</v>
      </c>
      <c r="I47" s="8">
        <f t="shared" si="4"/>
        <v>1.6739786816773332</v>
      </c>
      <c r="J47" s="8" t="e">
        <f ca="1">IF(H47&lt;2,"",_xludf.STDEV.S(E47:G47))</f>
        <v>#NAME?</v>
      </c>
      <c r="K47" s="8" t="e">
        <f t="shared" ca="1" si="5"/>
        <v>#NAME?</v>
      </c>
      <c r="L47" s="5" t="s">
        <v>38</v>
      </c>
      <c r="M47" s="16" t="s">
        <v>39</v>
      </c>
    </row>
    <row r="48" spans="1:13">
      <c r="A48" s="12" t="s">
        <v>24</v>
      </c>
      <c r="B48" s="13" t="s">
        <v>32</v>
      </c>
      <c r="C48" s="13" t="s">
        <v>33</v>
      </c>
      <c r="D48" s="8">
        <v>0.69</v>
      </c>
      <c r="E48" s="10">
        <v>0.7074366165032</v>
      </c>
      <c r="F48" s="10">
        <v>0.72043437855750003</v>
      </c>
      <c r="G48" s="10">
        <v>0.7017985627951</v>
      </c>
      <c r="H48" s="8">
        <f t="shared" si="3"/>
        <v>3</v>
      </c>
      <c r="I48" s="8">
        <f t="shared" si="4"/>
        <v>0.70988985261860005</v>
      </c>
      <c r="J48" s="8" t="e">
        <f ca="1">IF(H48&lt;2,"",_xludf.STDEV.S(E48:G48))</f>
        <v>#NAME?</v>
      </c>
      <c r="K48" s="8" t="e">
        <f t="shared" ca="1" si="5"/>
        <v>#NAME?</v>
      </c>
      <c r="L48" s="5" t="s">
        <v>17</v>
      </c>
      <c r="M48" s="16" t="s">
        <v>34</v>
      </c>
    </row>
    <row r="49" spans="1:13">
      <c r="A49" s="12" t="s">
        <v>24</v>
      </c>
      <c r="B49" s="13" t="s">
        <v>32</v>
      </c>
      <c r="C49" s="13" t="s">
        <v>35</v>
      </c>
      <c r="D49" s="8">
        <v>0.72</v>
      </c>
      <c r="E49" s="10">
        <v>0.70765917821809998</v>
      </c>
      <c r="F49" s="10">
        <v>0.7206642084646</v>
      </c>
      <c r="G49" s="10">
        <v>0.70162208912330004</v>
      </c>
      <c r="H49" s="8">
        <f t="shared" si="3"/>
        <v>3</v>
      </c>
      <c r="I49" s="8">
        <f t="shared" si="4"/>
        <v>0.70998182526866671</v>
      </c>
      <c r="J49" s="8" t="e">
        <f ca="1">IF(H49&lt;2,"",_xludf.STDEV.S(E49:G49))</f>
        <v>#NAME?</v>
      </c>
      <c r="K49" s="8" t="e">
        <f t="shared" ca="1" si="5"/>
        <v>#NAME?</v>
      </c>
      <c r="L49" s="5" t="s">
        <v>17</v>
      </c>
      <c r="M49" s="16" t="s">
        <v>36</v>
      </c>
    </row>
    <row r="50" spans="1:13">
      <c r="A50" s="12" t="s">
        <v>24</v>
      </c>
      <c r="B50" s="13" t="s">
        <v>32</v>
      </c>
      <c r="C50" s="13" t="s">
        <v>37</v>
      </c>
      <c r="D50" s="8">
        <v>1.66</v>
      </c>
      <c r="E50" s="10">
        <v>1.57808021</v>
      </c>
      <c r="F50" s="10">
        <v>1.57808021</v>
      </c>
      <c r="G50" s="10">
        <v>1.578636471</v>
      </c>
      <c r="H50" s="8">
        <f t="shared" si="3"/>
        <v>3</v>
      </c>
      <c r="I50" s="8">
        <f t="shared" si="4"/>
        <v>1.5782656303333333</v>
      </c>
      <c r="J50" s="8" t="e">
        <f ca="1">IF(H50&lt;2,"",_xludf.STDEV.S(E50:G50))</f>
        <v>#NAME?</v>
      </c>
      <c r="K50" s="8" t="e">
        <f t="shared" ca="1" si="5"/>
        <v>#NAME?</v>
      </c>
      <c r="L50" s="5" t="s">
        <v>38</v>
      </c>
      <c r="M50" s="16" t="s">
        <v>39</v>
      </c>
    </row>
    <row r="51" spans="1:13">
      <c r="A51" s="12" t="s">
        <v>31</v>
      </c>
      <c r="B51" s="13" t="s">
        <v>40</v>
      </c>
      <c r="C51" s="13" t="s">
        <v>33</v>
      </c>
      <c r="D51" s="8">
        <v>0.3</v>
      </c>
      <c r="E51" s="10"/>
      <c r="F51" s="10"/>
      <c r="G51" s="10"/>
      <c r="H51" s="8">
        <f t="shared" si="3"/>
        <v>0</v>
      </c>
      <c r="I51" s="8" t="str">
        <f t="shared" si="4"/>
        <v/>
      </c>
      <c r="J51" s="8" t="str">
        <f>IF(H51&lt;2,"",_xludf.STDEV.S(E51:G51))</f>
        <v/>
      </c>
      <c r="K51" s="8" t="str">
        <f t="shared" si="5"/>
        <v/>
      </c>
      <c r="L51" s="5" t="s">
        <v>17</v>
      </c>
      <c r="M51" s="16" t="s">
        <v>34</v>
      </c>
    </row>
    <row r="52" spans="1:13">
      <c r="A52" s="12" t="s">
        <v>31</v>
      </c>
      <c r="B52" s="13" t="s">
        <v>40</v>
      </c>
      <c r="C52" s="13" t="s">
        <v>35</v>
      </c>
      <c r="D52" s="8">
        <v>0.7</v>
      </c>
      <c r="E52" s="10"/>
      <c r="F52" s="10"/>
      <c r="G52" s="10"/>
      <c r="H52" s="8">
        <f t="shared" si="3"/>
        <v>0</v>
      </c>
      <c r="I52" s="8" t="str">
        <f t="shared" si="4"/>
        <v/>
      </c>
      <c r="J52" s="8" t="str">
        <f>IF(H52&lt;2,"",_xludf.STDEV.S(E52:G52))</f>
        <v/>
      </c>
      <c r="K52" s="8" t="str">
        <f t="shared" si="5"/>
        <v/>
      </c>
      <c r="L52" s="5" t="s">
        <v>17</v>
      </c>
      <c r="M52" s="16" t="s">
        <v>36</v>
      </c>
    </row>
    <row r="53" spans="1:13">
      <c r="A53" s="12" t="s">
        <v>31</v>
      </c>
      <c r="B53" s="13" t="s">
        <v>40</v>
      </c>
      <c r="C53" s="13" t="s">
        <v>37</v>
      </c>
      <c r="D53" s="8">
        <v>1.86</v>
      </c>
      <c r="E53" s="10"/>
      <c r="F53" s="10"/>
      <c r="G53" s="10"/>
      <c r="H53" s="8">
        <f t="shared" si="3"/>
        <v>0</v>
      </c>
      <c r="I53" s="8" t="str">
        <f t="shared" si="4"/>
        <v/>
      </c>
      <c r="J53" s="8" t="str">
        <f>IF(H53&lt;2,"",_xludf.STDEV.S(E53:G53))</f>
        <v/>
      </c>
      <c r="K53" s="8" t="str">
        <f t="shared" si="5"/>
        <v/>
      </c>
      <c r="L53" s="5" t="s">
        <v>38</v>
      </c>
      <c r="M53" s="16" t="s">
        <v>39</v>
      </c>
    </row>
    <row r="54" spans="1:13">
      <c r="A54" s="12" t="s">
        <v>23</v>
      </c>
      <c r="B54" s="13" t="s">
        <v>40</v>
      </c>
      <c r="C54" s="13" t="s">
        <v>33</v>
      </c>
      <c r="D54" s="8">
        <v>0.21</v>
      </c>
      <c r="E54" s="10">
        <v>0.21420673222</v>
      </c>
      <c r="F54" s="10">
        <v>0.24572246554390001</v>
      </c>
      <c r="G54" s="10">
        <v>0.14765554523640001</v>
      </c>
      <c r="H54" s="8">
        <f t="shared" si="3"/>
        <v>3</v>
      </c>
      <c r="I54" s="8">
        <f t="shared" si="4"/>
        <v>0.20252824766676669</v>
      </c>
      <c r="J54" s="8" t="e">
        <f ca="1">IF(H54&lt;2,"",_xludf.STDEV.S(E54:G54))</f>
        <v>#NAME?</v>
      </c>
      <c r="K54" s="8" t="e">
        <f t="shared" ca="1" si="5"/>
        <v>#NAME?</v>
      </c>
      <c r="L54" s="5" t="s">
        <v>17</v>
      </c>
      <c r="M54" s="16" t="s">
        <v>34</v>
      </c>
    </row>
    <row r="55" spans="1:13">
      <c r="A55" s="12" t="s">
        <v>23</v>
      </c>
      <c r="B55" s="13" t="s">
        <v>40</v>
      </c>
      <c r="C55" s="13" t="s">
        <v>35</v>
      </c>
      <c r="D55" s="8">
        <v>0.52</v>
      </c>
      <c r="E55" s="10">
        <v>0.4947656302108</v>
      </c>
      <c r="F55" s="10">
        <v>0.51689717240739996</v>
      </c>
      <c r="G55" s="10">
        <v>0.56308905269859999</v>
      </c>
      <c r="H55" s="8">
        <f t="shared" si="3"/>
        <v>3</v>
      </c>
      <c r="I55" s="8">
        <f t="shared" si="4"/>
        <v>0.52491728510559998</v>
      </c>
      <c r="J55" s="8" t="e">
        <f ca="1">IF(H55&lt;2,"",_xludf.STDEV.S(E55:G55))</f>
        <v>#NAME?</v>
      </c>
      <c r="K55" s="8" t="e">
        <f t="shared" ca="1" si="5"/>
        <v>#NAME?</v>
      </c>
      <c r="L55" s="5" t="s">
        <v>17</v>
      </c>
      <c r="M55" s="16" t="s">
        <v>36</v>
      </c>
    </row>
    <row r="56" spans="1:13">
      <c r="A56" s="12" t="s">
        <v>23</v>
      </c>
      <c r="B56" s="13" t="s">
        <v>40</v>
      </c>
      <c r="C56" s="13" t="s">
        <v>37</v>
      </c>
      <c r="D56" s="8">
        <v>1.96</v>
      </c>
      <c r="E56" s="10">
        <v>1.9711698010000001</v>
      </c>
      <c r="F56" s="10">
        <v>1.968980937</v>
      </c>
      <c r="G56" s="10">
        <v>1.9917864089999999</v>
      </c>
      <c r="H56" s="8">
        <f t="shared" si="3"/>
        <v>3</v>
      </c>
      <c r="I56" s="8">
        <f t="shared" si="4"/>
        <v>1.9773123823333332</v>
      </c>
      <c r="J56" s="8" t="e">
        <f ca="1">IF(H56&lt;2,"",_xludf.STDEV.S(E56:G56))</f>
        <v>#NAME?</v>
      </c>
      <c r="K56" s="8" t="e">
        <f t="shared" ca="1" si="5"/>
        <v>#NAME?</v>
      </c>
      <c r="L56" s="5" t="s">
        <v>38</v>
      </c>
      <c r="M56" s="16" t="s">
        <v>39</v>
      </c>
    </row>
    <row r="57" spans="1:13">
      <c r="A57" s="12" t="s">
        <v>25</v>
      </c>
      <c r="B57" s="13" t="s">
        <v>40</v>
      </c>
      <c r="C57" s="13" t="s">
        <v>33</v>
      </c>
      <c r="D57" s="8">
        <v>0.3</v>
      </c>
      <c r="E57" s="10">
        <v>0.29613584999420001</v>
      </c>
      <c r="F57" s="10">
        <v>0.27945841674330002</v>
      </c>
      <c r="G57" s="10">
        <v>0.30115571502400001</v>
      </c>
      <c r="H57" s="8">
        <f t="shared" si="3"/>
        <v>3</v>
      </c>
      <c r="I57" s="8">
        <f t="shared" si="4"/>
        <v>0.29224999392050005</v>
      </c>
      <c r="J57" s="8" t="e">
        <f ca="1">IF(H57&lt;2,"",_xludf.STDEV.S(E57:G57))</f>
        <v>#NAME?</v>
      </c>
      <c r="K57" s="8" t="e">
        <f t="shared" ca="1" si="5"/>
        <v>#NAME?</v>
      </c>
      <c r="L57" s="5" t="s">
        <v>17</v>
      </c>
      <c r="M57" s="16" t="s">
        <v>34</v>
      </c>
    </row>
    <row r="58" spans="1:13">
      <c r="A58" s="12" t="s">
        <v>25</v>
      </c>
      <c r="B58" s="13" t="s">
        <v>40</v>
      </c>
      <c r="C58" s="13" t="s">
        <v>35</v>
      </c>
      <c r="D58" s="8">
        <v>0.44</v>
      </c>
      <c r="E58" s="10">
        <v>0.43621529059570002</v>
      </c>
      <c r="F58" s="10">
        <v>0.43317202057080001</v>
      </c>
      <c r="G58" s="10">
        <v>0.44084547653930001</v>
      </c>
      <c r="H58" s="8">
        <f t="shared" si="3"/>
        <v>3</v>
      </c>
      <c r="I58" s="8">
        <f t="shared" si="4"/>
        <v>0.43674426256859999</v>
      </c>
      <c r="J58" s="8" t="e">
        <f ca="1">IF(H58&lt;2,"",_xludf.STDEV.S(E58:G58))</f>
        <v>#NAME?</v>
      </c>
      <c r="K58" s="8" t="e">
        <f t="shared" ca="1" si="5"/>
        <v>#NAME?</v>
      </c>
      <c r="L58" s="5" t="s">
        <v>17</v>
      </c>
      <c r="M58" s="16" t="s">
        <v>36</v>
      </c>
    </row>
    <row r="59" spans="1:13">
      <c r="A59" s="12" t="s">
        <v>25</v>
      </c>
      <c r="B59" s="13" t="s">
        <v>40</v>
      </c>
      <c r="C59" s="13" t="s">
        <v>37</v>
      </c>
      <c r="D59" s="8">
        <v>1.87</v>
      </c>
      <c r="E59" s="10">
        <v>1.867121175124</v>
      </c>
      <c r="F59" s="10">
        <v>1.867010378607</v>
      </c>
      <c r="G59" s="10">
        <v>1.866385750746</v>
      </c>
      <c r="H59" s="8">
        <f t="shared" si="3"/>
        <v>3</v>
      </c>
      <c r="I59" s="8">
        <f t="shared" si="4"/>
        <v>1.8668391014923333</v>
      </c>
      <c r="J59" s="8" t="e">
        <f ca="1">IF(H59&lt;2,"",_xludf.STDEV.S(E59:G59))</f>
        <v>#NAME?</v>
      </c>
      <c r="K59" s="8" t="e">
        <f t="shared" ca="1" si="5"/>
        <v>#NAME?</v>
      </c>
      <c r="L59" s="5" t="s">
        <v>38</v>
      </c>
      <c r="M59" s="16" t="s">
        <v>39</v>
      </c>
    </row>
    <row r="60" spans="1:13">
      <c r="A60" s="12" t="s">
        <v>26</v>
      </c>
      <c r="B60" s="13" t="s">
        <v>40</v>
      </c>
      <c r="C60" s="13" t="s">
        <v>33</v>
      </c>
      <c r="D60" s="8">
        <v>0.28999999999999998</v>
      </c>
      <c r="E60" s="10">
        <v>0.29341220860490003</v>
      </c>
      <c r="F60" s="10">
        <v>0.29340458828880001</v>
      </c>
      <c r="G60" s="10">
        <v>0.2927936337964</v>
      </c>
      <c r="H60" s="8">
        <f t="shared" si="3"/>
        <v>3</v>
      </c>
      <c r="I60" s="8">
        <f t="shared" si="4"/>
        <v>0.29320347689670001</v>
      </c>
      <c r="J60" s="8" t="e">
        <f ca="1">IF(H60&lt;2,"",_xludf.STDEV.S(E60:G60))</f>
        <v>#NAME?</v>
      </c>
      <c r="K60" s="8" t="e">
        <f t="shared" ca="1" si="5"/>
        <v>#NAME?</v>
      </c>
      <c r="L60" s="5" t="s">
        <v>17</v>
      </c>
      <c r="M60" s="16" t="s">
        <v>34</v>
      </c>
    </row>
    <row r="61" spans="1:13">
      <c r="A61" s="12" t="s">
        <v>26</v>
      </c>
      <c r="B61" s="13" t="s">
        <v>40</v>
      </c>
      <c r="C61" s="13" t="s">
        <v>35</v>
      </c>
      <c r="D61" s="8">
        <v>0.41</v>
      </c>
      <c r="E61" s="10">
        <v>0.4105681931813</v>
      </c>
      <c r="F61" s="10">
        <v>0.40747506809669998</v>
      </c>
      <c r="G61" s="10">
        <v>0.41419623131459998</v>
      </c>
      <c r="H61" s="8">
        <f t="shared" si="3"/>
        <v>3</v>
      </c>
      <c r="I61" s="8">
        <f t="shared" si="4"/>
        <v>0.41074649753086662</v>
      </c>
      <c r="J61" s="8" t="e">
        <f ca="1">IF(H61&lt;2,"",_xludf.STDEV.S(E61:G61))</f>
        <v>#NAME?</v>
      </c>
      <c r="K61" s="8" t="e">
        <f t="shared" ca="1" si="5"/>
        <v>#NAME?</v>
      </c>
      <c r="L61" s="5" t="s">
        <v>17</v>
      </c>
      <c r="M61" s="16" t="s">
        <v>36</v>
      </c>
    </row>
    <row r="62" spans="1:13">
      <c r="A62" s="12" t="s">
        <v>26</v>
      </c>
      <c r="B62" s="13" t="s">
        <v>40</v>
      </c>
      <c r="C62" s="13" t="s">
        <v>37</v>
      </c>
      <c r="D62" s="8">
        <v>1.93</v>
      </c>
      <c r="E62" s="10">
        <v>1.9257911697650001</v>
      </c>
      <c r="F62" s="10">
        <v>1.9255267211389999</v>
      </c>
      <c r="G62" s="10">
        <v>1.925583054773</v>
      </c>
      <c r="H62" s="8">
        <f t="shared" si="3"/>
        <v>3</v>
      </c>
      <c r="I62" s="8">
        <f t="shared" si="4"/>
        <v>1.925633648559</v>
      </c>
      <c r="J62" s="8" t="e">
        <f ca="1">IF(H62&lt;2,"",_xludf.STDEV.S(E62:G62))</f>
        <v>#NAME?</v>
      </c>
      <c r="K62" s="8" t="e">
        <f t="shared" ca="1" si="5"/>
        <v>#NAME?</v>
      </c>
      <c r="L62" s="5" t="s">
        <v>38</v>
      </c>
      <c r="M62" s="16" t="s">
        <v>39</v>
      </c>
    </row>
    <row r="63" spans="1:13">
      <c r="A63" s="12" t="s">
        <v>27</v>
      </c>
      <c r="B63" s="13" t="s">
        <v>40</v>
      </c>
      <c r="C63" s="13" t="s">
        <v>33</v>
      </c>
      <c r="D63" s="8">
        <v>0.31</v>
      </c>
      <c r="E63" s="10">
        <v>0.28627671661300003</v>
      </c>
      <c r="F63" s="10">
        <v>0.30377941780779999</v>
      </c>
      <c r="G63" s="10">
        <v>0.29858483078999998</v>
      </c>
      <c r="H63" s="8">
        <f t="shared" si="3"/>
        <v>3</v>
      </c>
      <c r="I63" s="8">
        <f t="shared" si="4"/>
        <v>0.29621365507026665</v>
      </c>
      <c r="J63" s="8" t="e">
        <f ca="1">IF(H63&lt;2,"",_xludf.STDEV.S(E63:G63))</f>
        <v>#NAME?</v>
      </c>
      <c r="K63" s="8" t="e">
        <f t="shared" ca="1" si="5"/>
        <v>#NAME?</v>
      </c>
      <c r="L63" s="5" t="s">
        <v>17</v>
      </c>
      <c r="M63" s="16" t="s">
        <v>34</v>
      </c>
    </row>
    <row r="64" spans="1:13">
      <c r="A64" s="12" t="s">
        <v>27</v>
      </c>
      <c r="B64" s="13" t="s">
        <v>40</v>
      </c>
      <c r="C64" s="13" t="s">
        <v>35</v>
      </c>
      <c r="D64" s="8">
        <v>0.56000000000000005</v>
      </c>
      <c r="E64" s="10">
        <v>0.53816341243580001</v>
      </c>
      <c r="F64" s="10">
        <v>0.56730539211300002</v>
      </c>
      <c r="G64" s="10">
        <v>0.56085563855510001</v>
      </c>
      <c r="H64" s="8">
        <f t="shared" si="3"/>
        <v>3</v>
      </c>
      <c r="I64" s="8">
        <f t="shared" si="4"/>
        <v>0.55544148103463342</v>
      </c>
      <c r="J64" s="8" t="e">
        <f ca="1">IF(H64&lt;2,"",_xludf.STDEV.S(E64:G64))</f>
        <v>#NAME?</v>
      </c>
      <c r="K64" s="8" t="e">
        <f t="shared" ca="1" si="5"/>
        <v>#NAME?</v>
      </c>
      <c r="L64" s="5" t="s">
        <v>17</v>
      </c>
      <c r="M64" s="16" t="s">
        <v>36</v>
      </c>
    </row>
    <row r="65" spans="1:13">
      <c r="A65" s="12" t="s">
        <v>27</v>
      </c>
      <c r="B65" s="13" t="s">
        <v>40</v>
      </c>
      <c r="C65" s="13" t="s">
        <v>37</v>
      </c>
      <c r="D65" s="8">
        <v>1.86</v>
      </c>
      <c r="E65" s="8">
        <v>1.86</v>
      </c>
      <c r="F65" s="8">
        <v>1.86</v>
      </c>
      <c r="G65" s="8">
        <v>1.86</v>
      </c>
      <c r="H65" s="8">
        <f t="shared" si="3"/>
        <v>3</v>
      </c>
      <c r="I65" s="8">
        <f t="shared" si="4"/>
        <v>1.86</v>
      </c>
      <c r="J65" s="8" t="e">
        <f ca="1">IF(H65&lt;2,"",_xludf.STDEV.S(E65:G65))</f>
        <v>#NAME?</v>
      </c>
      <c r="K65" s="8" t="e">
        <f t="shared" ca="1" si="5"/>
        <v>#NAME?</v>
      </c>
      <c r="L65" s="5" t="s">
        <v>38</v>
      </c>
      <c r="M65" s="16" t="s">
        <v>39</v>
      </c>
    </row>
    <row r="66" spans="1:13">
      <c r="A66" s="12" t="s">
        <v>28</v>
      </c>
      <c r="B66" s="13" t="s">
        <v>40</v>
      </c>
      <c r="C66" s="13" t="s">
        <v>33</v>
      </c>
      <c r="D66" s="8">
        <v>0.31</v>
      </c>
      <c r="E66" s="10">
        <v>0.31144296179609998</v>
      </c>
      <c r="F66" s="10">
        <v>0.310401360869</v>
      </c>
      <c r="G66" s="10">
        <v>0.30647823755050002</v>
      </c>
      <c r="H66" s="8">
        <f t="shared" si="3"/>
        <v>3</v>
      </c>
      <c r="I66" s="8">
        <f t="shared" si="4"/>
        <v>0.3094408534052</v>
      </c>
      <c r="J66" s="8" t="e">
        <f ca="1">IF(H66&lt;2,"",_xludf.STDEV.S(E66:G66))</f>
        <v>#NAME?</v>
      </c>
      <c r="K66" s="8" t="e">
        <f t="shared" ca="1" si="5"/>
        <v>#NAME?</v>
      </c>
      <c r="L66" s="5" t="s">
        <v>17</v>
      </c>
      <c r="M66" s="16" t="s">
        <v>34</v>
      </c>
    </row>
    <row r="67" spans="1:13">
      <c r="A67" s="12" t="s">
        <v>28</v>
      </c>
      <c r="B67" s="13" t="s">
        <v>40</v>
      </c>
      <c r="C67" s="13" t="s">
        <v>35</v>
      </c>
      <c r="D67" s="8">
        <v>0.31</v>
      </c>
      <c r="E67" s="10">
        <v>0.31146672697470001</v>
      </c>
      <c r="F67" s="10">
        <v>0.31044323098670001</v>
      </c>
      <c r="G67" s="10">
        <v>0.30637034647869998</v>
      </c>
      <c r="H67" s="8">
        <f t="shared" ref="H67:H71" si="6">COUNT(E67:G67)</f>
        <v>3</v>
      </c>
      <c r="I67" s="8">
        <f t="shared" ref="I67:I71" si="7">IF(H67=0,"",AVERAGE(E67:G67))</f>
        <v>0.3094267681467</v>
      </c>
      <c r="J67" s="8" t="e">
        <f ca="1">IF(H67&lt;2,"",_xludf.STDEV.S(E67:G67))</f>
        <v>#NAME?</v>
      </c>
      <c r="K67" s="8" t="e">
        <f t="shared" ref="K67:K71" ca="1" si="8">IF(H67&lt;2,"",J67/SQRT(H67))</f>
        <v>#NAME?</v>
      </c>
      <c r="L67" s="5" t="s">
        <v>17</v>
      </c>
      <c r="M67" s="16" t="s">
        <v>36</v>
      </c>
    </row>
    <row r="68" spans="1:13">
      <c r="A68" s="12" t="s">
        <v>28</v>
      </c>
      <c r="B68" s="13" t="s">
        <v>40</v>
      </c>
      <c r="C68" s="13" t="s">
        <v>37</v>
      </c>
      <c r="D68" s="8">
        <v>1.89</v>
      </c>
      <c r="E68" s="10">
        <v>1.8989369691410001</v>
      </c>
      <c r="F68" s="10">
        <v>1.899000975928</v>
      </c>
      <c r="G68" s="10">
        <v>1.8986532626429999</v>
      </c>
      <c r="H68" s="8">
        <f t="shared" si="6"/>
        <v>3</v>
      </c>
      <c r="I68" s="8">
        <f t="shared" si="7"/>
        <v>1.8988637359040001</v>
      </c>
      <c r="J68" s="8" t="e">
        <f ca="1">IF(H68&lt;2,"",_xludf.STDEV.S(E68:G68))</f>
        <v>#NAME?</v>
      </c>
      <c r="K68" s="8" t="e">
        <f t="shared" ca="1" si="8"/>
        <v>#NAME?</v>
      </c>
      <c r="L68" s="5" t="s">
        <v>38</v>
      </c>
      <c r="M68" s="16" t="s">
        <v>39</v>
      </c>
    </row>
    <row r="69" spans="1:13">
      <c r="A69" s="12" t="s">
        <v>24</v>
      </c>
      <c r="B69" s="13" t="s">
        <v>40</v>
      </c>
      <c r="C69" s="13" t="s">
        <v>33</v>
      </c>
      <c r="D69" s="8">
        <v>0.69</v>
      </c>
      <c r="E69" s="10">
        <v>0.36704779499290002</v>
      </c>
      <c r="F69" s="10">
        <v>0.36645783538670001</v>
      </c>
      <c r="G69" s="10">
        <v>0.3716550116715</v>
      </c>
      <c r="H69" s="8">
        <f t="shared" si="6"/>
        <v>3</v>
      </c>
      <c r="I69" s="8">
        <f t="shared" si="7"/>
        <v>0.36838688068370001</v>
      </c>
      <c r="J69" s="8" t="e">
        <f ca="1">IF(H69&lt;2,"",_xludf.STDEV.S(E69:G69))</f>
        <v>#NAME?</v>
      </c>
      <c r="K69" s="8" t="e">
        <f t="shared" ca="1" si="8"/>
        <v>#NAME?</v>
      </c>
      <c r="L69" s="5" t="s">
        <v>17</v>
      </c>
      <c r="M69" s="16" t="s">
        <v>34</v>
      </c>
    </row>
    <row r="70" spans="1:13">
      <c r="A70" s="12" t="s">
        <v>24</v>
      </c>
      <c r="B70" s="13" t="s">
        <v>40</v>
      </c>
      <c r="C70" s="13" t="s">
        <v>35</v>
      </c>
      <c r="D70" s="8">
        <v>0.72</v>
      </c>
      <c r="E70" s="10">
        <v>0.36681486611890002</v>
      </c>
      <c r="F70" s="10">
        <v>0.36658957029380002</v>
      </c>
      <c r="G70" s="10">
        <v>0.37190489791730003</v>
      </c>
      <c r="H70" s="8">
        <f t="shared" si="6"/>
        <v>3</v>
      </c>
      <c r="I70" s="8">
        <f t="shared" si="7"/>
        <v>0.36843644477666665</v>
      </c>
      <c r="J70" s="8" t="e">
        <f ca="1">IF(H70&lt;2,"",_xludf.STDEV.S(E70:G70))</f>
        <v>#NAME?</v>
      </c>
      <c r="K70" s="8" t="e">
        <f t="shared" ca="1" si="8"/>
        <v>#NAME?</v>
      </c>
      <c r="L70" s="5" t="s">
        <v>17</v>
      </c>
      <c r="M70" s="16" t="s">
        <v>36</v>
      </c>
    </row>
    <row r="71" spans="1:13">
      <c r="A71" s="14" t="s">
        <v>24</v>
      </c>
      <c r="B71" s="15" t="s">
        <v>40</v>
      </c>
      <c r="C71" s="15" t="s">
        <v>37</v>
      </c>
      <c r="D71" s="9">
        <v>1.66</v>
      </c>
      <c r="E71" s="11">
        <v>1.8321776270000001</v>
      </c>
      <c r="F71" s="11">
        <v>1.8315722270000001</v>
      </c>
      <c r="G71" s="11">
        <v>1.8319200879999999</v>
      </c>
      <c r="H71" s="9">
        <f t="shared" si="6"/>
        <v>3</v>
      </c>
      <c r="I71" s="9">
        <f t="shared" si="7"/>
        <v>1.8318899806666666</v>
      </c>
      <c r="J71" s="9" t="e">
        <f ca="1">IF(H71&lt;2,"",_xludf.STDEV.S(E71:G71))</f>
        <v>#NAME?</v>
      </c>
      <c r="K71" s="9" t="e">
        <f t="shared" ca="1" si="8"/>
        <v>#NAME?</v>
      </c>
      <c r="L71" s="7" t="s">
        <v>38</v>
      </c>
      <c r="M71" s="17" t="s">
        <v>39</v>
      </c>
    </row>
    <row r="72" spans="1:13">
      <c r="A72" s="12" t="s">
        <v>30</v>
      </c>
      <c r="B72" s="13" t="s">
        <v>32</v>
      </c>
      <c r="C72" s="13" t="s">
        <v>33</v>
      </c>
      <c r="E72" s="22">
        <v>1.9045659999999999E-3</v>
      </c>
    </row>
    <row r="73" spans="1:13">
      <c r="A73" s="12" t="s">
        <v>30</v>
      </c>
      <c r="B73" s="13" t="s">
        <v>32</v>
      </c>
      <c r="C73" s="13" t="s">
        <v>35</v>
      </c>
      <c r="E73" s="22">
        <v>5.8509669999999998E-5</v>
      </c>
    </row>
    <row r="74" spans="1:13">
      <c r="A74" s="12" t="s">
        <v>30</v>
      </c>
      <c r="B74" s="13" t="s">
        <v>32</v>
      </c>
      <c r="C74" s="13" t="s">
        <v>37</v>
      </c>
    </row>
    <row r="75" spans="1:13">
      <c r="A75" s="12" t="s">
        <v>30</v>
      </c>
      <c r="B75" s="13" t="s">
        <v>40</v>
      </c>
      <c r="C75" s="13" t="s">
        <v>33</v>
      </c>
    </row>
    <row r="76" spans="1:13">
      <c r="A76" s="12" t="s">
        <v>30</v>
      </c>
      <c r="B76" s="13" t="s">
        <v>40</v>
      </c>
      <c r="C76" s="13" t="s">
        <v>35</v>
      </c>
    </row>
    <row r="77" spans="1:13">
      <c r="A77" s="12" t="s">
        <v>30</v>
      </c>
      <c r="B77" s="15" t="s">
        <v>40</v>
      </c>
      <c r="C77" s="15" t="s">
        <v>37</v>
      </c>
    </row>
  </sheetData>
  <mergeCells count="1">
    <mergeCell ref="A1:M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71"/>
  <sheetViews>
    <sheetView workbookViewId="0">
      <selection sqref="A1:I1"/>
    </sheetView>
  </sheetViews>
  <sheetFormatPr defaultRowHeight="14.25"/>
  <cols>
    <col min="1" max="1" width="16" customWidth="1"/>
    <col min="2" max="2" width="30" customWidth="1"/>
    <col min="3" max="3" width="14" customWidth="1"/>
    <col min="4" max="5" width="18" customWidth="1"/>
    <col min="6" max="6" width="12" customWidth="1"/>
    <col min="7" max="7" width="8" customWidth="1"/>
    <col min="8" max="8" width="10" customWidth="1"/>
    <col min="9" max="9" width="16" customWidth="1"/>
  </cols>
  <sheetData>
    <row r="1" spans="1:9" ht="18">
      <c r="A1" s="24" t="s">
        <v>41</v>
      </c>
      <c r="B1" s="25"/>
      <c r="C1" s="25"/>
      <c r="D1" s="25"/>
      <c r="E1" s="25"/>
      <c r="F1" s="25"/>
      <c r="G1" s="25"/>
      <c r="H1" s="25"/>
      <c r="I1" s="26"/>
    </row>
    <row r="2" spans="1:9" ht="15">
      <c r="A2" s="1" t="s">
        <v>1</v>
      </c>
      <c r="B2" s="2" t="s">
        <v>2</v>
      </c>
      <c r="C2" s="2" t="s">
        <v>3</v>
      </c>
      <c r="D2" s="2" t="s">
        <v>42</v>
      </c>
      <c r="E2" s="2" t="s">
        <v>43</v>
      </c>
      <c r="F2" s="2" t="s">
        <v>10</v>
      </c>
      <c r="G2" s="2" t="s">
        <v>44</v>
      </c>
      <c r="H2" s="2" t="s">
        <v>12</v>
      </c>
      <c r="I2" s="3" t="s">
        <v>4</v>
      </c>
    </row>
    <row r="3" spans="1:9">
      <c r="A3" s="4" t="str">
        <f>Data_Entry!A3</f>
        <v>Experiment</v>
      </c>
      <c r="B3" s="5" t="str">
        <f>Data_Entry!B3</f>
        <v>300 K, 1 atm / proton-defect water</v>
      </c>
      <c r="C3" s="5" t="str">
        <f>Data_Entry!C3</f>
        <v>D_H₂O</v>
      </c>
      <c r="D3" s="8" t="str">
        <f>Data_Entry!I3</f>
        <v/>
      </c>
      <c r="E3" s="8" t="str">
        <f>Data_Entry!K3</f>
        <v/>
      </c>
      <c r="F3" s="8" t="str">
        <f>Data_Entry!J3</f>
        <v/>
      </c>
      <c r="G3" s="5">
        <f>Data_Entry!H3</f>
        <v>0</v>
      </c>
      <c r="H3" s="5" t="str">
        <f>Data_Entry!L3</f>
        <v>Å²/ps</v>
      </c>
      <c r="I3" s="18">
        <f>Data_Entry!D3</f>
        <v>0.23</v>
      </c>
    </row>
    <row r="4" spans="1:9">
      <c r="A4" s="4" t="str">
        <f>Data_Entry!A4</f>
        <v>Experiment</v>
      </c>
      <c r="B4" s="5" t="str">
        <f>Data_Entry!B4</f>
        <v>300 K, 1 atm / proton-defect water</v>
      </c>
      <c r="C4" s="5" t="str">
        <f>Data_Entry!C4</f>
        <v>D_H₃O</v>
      </c>
      <c r="D4" s="8" t="str">
        <f>Data_Entry!I4</f>
        <v/>
      </c>
      <c r="E4" s="8" t="str">
        <f>Data_Entry!K4</f>
        <v/>
      </c>
      <c r="F4" s="8" t="str">
        <f>Data_Entry!J4</f>
        <v/>
      </c>
      <c r="G4" s="5">
        <f>Data_Entry!H4</f>
        <v>0</v>
      </c>
      <c r="H4" s="5" t="str">
        <f>Data_Entry!L4</f>
        <v>Å²/ps</v>
      </c>
      <c r="I4" s="18">
        <f>Data_Entry!D4</f>
        <v>0.93</v>
      </c>
    </row>
    <row r="5" spans="1:9">
      <c r="A5" s="4" t="str">
        <f>Data_Entry!A5</f>
        <v>Experiment</v>
      </c>
      <c r="B5" s="5" t="str">
        <f>Data_Entry!B5</f>
        <v>300 K, 1 atm / proton-defect water</v>
      </c>
      <c r="C5" s="5" t="str">
        <f>Data_Entry!C5</f>
        <v>D_OH</v>
      </c>
      <c r="D5" s="8" t="str">
        <f>Data_Entry!I5</f>
        <v/>
      </c>
      <c r="E5" s="8" t="str">
        <f>Data_Entry!K5</f>
        <v/>
      </c>
      <c r="F5" s="8" t="str">
        <f>Data_Entry!J5</f>
        <v/>
      </c>
      <c r="G5" s="5">
        <f>Data_Entry!H5</f>
        <v>0</v>
      </c>
      <c r="H5" s="5" t="str">
        <f>Data_Entry!L5</f>
        <v>Å²/ps</v>
      </c>
      <c r="I5" s="18">
        <f>Data_Entry!D5</f>
        <v>0.56000000000000005</v>
      </c>
    </row>
    <row r="6" spans="1:9">
      <c r="A6" s="4" t="str">
        <f>Data_Entry!A6</f>
        <v>EeFF</v>
      </c>
      <c r="B6" s="5" t="str">
        <f>Data_Entry!B6</f>
        <v>300 K, 1 atm / proton-defect water</v>
      </c>
      <c r="C6" s="5" t="str">
        <f>Data_Entry!C6</f>
        <v>D_H₂O</v>
      </c>
      <c r="D6" s="8">
        <f>Data_Entry!I6</f>
        <v>0.26091540000000002</v>
      </c>
      <c r="E6" s="8" t="e">
        <f ca="1">Data_Entry!K6</f>
        <v>#NAME?</v>
      </c>
      <c r="F6" s="8" t="e">
        <f ca="1">Data_Entry!J6</f>
        <v>#NAME?</v>
      </c>
      <c r="G6" s="5">
        <f>Data_Entry!H6</f>
        <v>3</v>
      </c>
      <c r="H6" s="5" t="str">
        <f>Data_Entry!L6</f>
        <v>Å²/ps</v>
      </c>
      <c r="I6" s="18">
        <f>Data_Entry!D6</f>
        <v>0.23</v>
      </c>
    </row>
    <row r="7" spans="1:9">
      <c r="A7" s="4" t="str">
        <f>Data_Entry!A7</f>
        <v>EeFF</v>
      </c>
      <c r="B7" s="5" t="str">
        <f>Data_Entry!B7</f>
        <v>300 K, 1 atm / proton-defect water</v>
      </c>
      <c r="C7" s="5" t="str">
        <f>Data_Entry!C7</f>
        <v>D_H₃O</v>
      </c>
      <c r="D7" s="8">
        <f>Data_Entry!I7</f>
        <v>1.0934828824915666</v>
      </c>
      <c r="E7" s="8" t="e">
        <f ca="1">Data_Entry!K7</f>
        <v>#NAME?</v>
      </c>
      <c r="F7" s="8" t="e">
        <f ca="1">Data_Entry!J7</f>
        <v>#NAME?</v>
      </c>
      <c r="G7" s="5">
        <f>Data_Entry!H7</f>
        <v>3</v>
      </c>
      <c r="H7" s="5" t="str">
        <f>Data_Entry!L7</f>
        <v>Å²/ps</v>
      </c>
      <c r="I7" s="18">
        <f>Data_Entry!D7</f>
        <v>0.61</v>
      </c>
    </row>
    <row r="8" spans="1:9">
      <c r="A8" s="4" t="str">
        <f>Data_Entry!A8</f>
        <v>EeFF</v>
      </c>
      <c r="B8" s="5" t="str">
        <f>Data_Entry!B8</f>
        <v>300 K, 1 atm / proton-defect water</v>
      </c>
      <c r="C8" s="5" t="str">
        <f>Data_Entry!C8</f>
        <v>D_OH</v>
      </c>
      <c r="D8" s="8">
        <f>Data_Entry!I8</f>
        <v>0.4078284969333334</v>
      </c>
      <c r="E8" s="8" t="e">
        <f ca="1">Data_Entry!K8</f>
        <v>#NAME?</v>
      </c>
      <c r="F8" s="8" t="e">
        <f ca="1">Data_Entry!J8</f>
        <v>#NAME?</v>
      </c>
      <c r="G8" s="5">
        <f>Data_Entry!H8</f>
        <v>3</v>
      </c>
      <c r="H8" s="5" t="str">
        <f>Data_Entry!L8</f>
        <v>Å²/ps</v>
      </c>
      <c r="I8" s="18">
        <f>Data_Entry!D8</f>
        <v>0.31</v>
      </c>
    </row>
    <row r="9" spans="1:9">
      <c r="A9" s="4" t="str">
        <f>Data_Entry!A9</f>
        <v>Lewis</v>
      </c>
      <c r="B9" s="5" t="str">
        <f>Data_Entry!B9</f>
        <v>300 K, 1 atm / proton-defect water</v>
      </c>
      <c r="C9" s="5" t="str">
        <f>Data_Entry!C9</f>
        <v>D_H₂O</v>
      </c>
      <c r="D9" s="8">
        <f>Data_Entry!I9</f>
        <v>5.8334796666666668E-2</v>
      </c>
      <c r="E9" s="8" t="e">
        <f ca="1">Data_Entry!K9</f>
        <v>#NAME?</v>
      </c>
      <c r="F9" s="8" t="e">
        <f ca="1">Data_Entry!J9</f>
        <v>#NAME?</v>
      </c>
      <c r="G9" s="5">
        <f>Data_Entry!H9</f>
        <v>3</v>
      </c>
      <c r="H9" s="5" t="str">
        <f>Data_Entry!L9</f>
        <v>Å²/ps</v>
      </c>
      <c r="I9" s="18">
        <f>Data_Entry!D9</f>
        <v>0.11</v>
      </c>
    </row>
    <row r="10" spans="1:9">
      <c r="A10" s="4" t="str">
        <f>Data_Entry!A10</f>
        <v>Lewis</v>
      </c>
      <c r="B10" s="5" t="str">
        <f>Data_Entry!B10</f>
        <v>300 K, 1 atm / proton-defect water</v>
      </c>
      <c r="C10" s="5" t="str">
        <f>Data_Entry!C10</f>
        <v>D_H₃O</v>
      </c>
      <c r="D10" s="8">
        <f>Data_Entry!I10</f>
        <v>0.14404405191323333</v>
      </c>
      <c r="E10" s="8" t="e">
        <f ca="1">Data_Entry!K10</f>
        <v>#NAME?</v>
      </c>
      <c r="F10" s="8" t="e">
        <f ca="1">Data_Entry!J10</f>
        <v>#NAME?</v>
      </c>
      <c r="G10" s="5">
        <f>Data_Entry!H10</f>
        <v>3</v>
      </c>
      <c r="H10" s="5" t="str">
        <f>Data_Entry!L10</f>
        <v>Å²/ps</v>
      </c>
      <c r="I10" s="18">
        <f>Data_Entry!D10</f>
        <v>0.24</v>
      </c>
    </row>
    <row r="11" spans="1:9">
      <c r="A11" s="4" t="str">
        <f>Data_Entry!A11</f>
        <v>Lewis</v>
      </c>
      <c r="B11" s="5" t="str">
        <f>Data_Entry!B11</f>
        <v>300 K, 1 atm / proton-defect water</v>
      </c>
      <c r="C11" s="5" t="str">
        <f>Data_Entry!C11</f>
        <v>D_OH</v>
      </c>
      <c r="D11" s="8">
        <f>Data_Entry!I11</f>
        <v>0.11557101393333334</v>
      </c>
      <c r="E11" s="8" t="e">
        <f ca="1">Data_Entry!K11</f>
        <v>#NAME?</v>
      </c>
      <c r="F11" s="8" t="e">
        <f ca="1">Data_Entry!J11</f>
        <v>#NAME?</v>
      </c>
      <c r="G11" s="5">
        <f>Data_Entry!H11</f>
        <v>3</v>
      </c>
      <c r="H11" s="5" t="str">
        <f>Data_Entry!L11</f>
        <v>Å²/ps</v>
      </c>
      <c r="I11" s="18">
        <f>Data_Entry!D11</f>
        <v>0.15</v>
      </c>
    </row>
    <row r="12" spans="1:9">
      <c r="A12" s="4" t="str">
        <f>Data_Entry!A12</f>
        <v>Cheng-MLP</v>
      </c>
      <c r="B12" s="5" t="str">
        <f>Data_Entry!B12</f>
        <v>300 K, 1 atm / proton-defect water</v>
      </c>
      <c r="C12" s="5" t="str">
        <f>Data_Entry!C12</f>
        <v>D_H₂O</v>
      </c>
      <c r="D12" s="8">
        <f>Data_Entry!I12</f>
        <v>3.3616979999999998E-2</v>
      </c>
      <c r="E12" s="8" t="e">
        <f ca="1">Data_Entry!K12</f>
        <v>#NAME?</v>
      </c>
      <c r="F12" s="8" t="e">
        <f ca="1">Data_Entry!J12</f>
        <v>#NAME?</v>
      </c>
      <c r="G12" s="5">
        <f>Data_Entry!H12</f>
        <v>3</v>
      </c>
      <c r="H12" s="5" t="str">
        <f>Data_Entry!L12</f>
        <v>Å²/ps</v>
      </c>
      <c r="I12" s="18">
        <f>Data_Entry!D12</f>
        <v>0.03</v>
      </c>
    </row>
    <row r="13" spans="1:9">
      <c r="A13" s="4" t="str">
        <f>Data_Entry!A13</f>
        <v>Cheng-MLP</v>
      </c>
      <c r="B13" s="5" t="str">
        <f>Data_Entry!B13</f>
        <v>300 K, 1 atm / proton-defect water</v>
      </c>
      <c r="C13" s="5" t="str">
        <f>Data_Entry!C13</f>
        <v>D_H₃O</v>
      </c>
      <c r="D13" s="8">
        <f>Data_Entry!I13</f>
        <v>0.13872206834423331</v>
      </c>
      <c r="E13" s="8" t="e">
        <f ca="1">Data_Entry!K13</f>
        <v>#NAME?</v>
      </c>
      <c r="F13" s="8" t="e">
        <f ca="1">Data_Entry!J13</f>
        <v>#NAME?</v>
      </c>
      <c r="G13" s="5">
        <f>Data_Entry!H13</f>
        <v>3</v>
      </c>
      <c r="H13" s="5" t="str">
        <f>Data_Entry!L13</f>
        <v>Å²/ps</v>
      </c>
      <c r="I13" s="18">
        <f>Data_Entry!D13</f>
        <v>0.2</v>
      </c>
    </row>
    <row r="14" spans="1:9">
      <c r="A14" s="4" t="str">
        <f>Data_Entry!A14</f>
        <v>Cheng-MLP</v>
      </c>
      <c r="B14" s="5" t="str">
        <f>Data_Entry!B14</f>
        <v>300 K, 1 atm / proton-defect water</v>
      </c>
      <c r="C14" s="5" t="str">
        <f>Data_Entry!C14</f>
        <v>D_OH</v>
      </c>
      <c r="D14" s="8">
        <f>Data_Entry!I14</f>
        <v>0.56576131787636663</v>
      </c>
      <c r="E14" s="8" t="e">
        <f ca="1">Data_Entry!K14</f>
        <v>#NAME?</v>
      </c>
      <c r="F14" s="8" t="e">
        <f ca="1">Data_Entry!J14</f>
        <v>#NAME?</v>
      </c>
      <c r="G14" s="5">
        <f>Data_Entry!H14</f>
        <v>3</v>
      </c>
      <c r="H14" s="5" t="str">
        <f>Data_Entry!L14</f>
        <v>Å²/ps</v>
      </c>
      <c r="I14" s="18">
        <f>Data_Entry!D14</f>
        <v>0.7</v>
      </c>
    </row>
    <row r="15" spans="1:9">
      <c r="A15" s="4" t="str">
        <f>Data_Entry!A15</f>
        <v>DP-H2OPD</v>
      </c>
      <c r="B15" s="5" t="str">
        <f>Data_Entry!B15</f>
        <v>300 K, 1 atm / proton-defect water</v>
      </c>
      <c r="C15" s="5" t="str">
        <f>Data_Entry!C15</f>
        <v>D_H₂O</v>
      </c>
      <c r="D15" s="8">
        <f>Data_Entry!I15</f>
        <v>7.7286686666666674E-2</v>
      </c>
      <c r="E15" s="8" t="e">
        <f ca="1">Data_Entry!K15</f>
        <v>#NAME?</v>
      </c>
      <c r="F15" s="8" t="e">
        <f ca="1">Data_Entry!J15</f>
        <v>#NAME?</v>
      </c>
      <c r="G15" s="5">
        <f>Data_Entry!H15</f>
        <v>3</v>
      </c>
      <c r="H15" s="5" t="str">
        <f>Data_Entry!L15</f>
        <v>Å²/ps</v>
      </c>
      <c r="I15" s="18">
        <f>Data_Entry!D15</f>
        <v>7.0000000000000007E-2</v>
      </c>
    </row>
    <row r="16" spans="1:9">
      <c r="A16" s="4" t="str">
        <f>Data_Entry!A16</f>
        <v>DP-H2OPD</v>
      </c>
      <c r="B16" s="5" t="str">
        <f>Data_Entry!B16</f>
        <v>300 K, 1 atm / proton-defect water</v>
      </c>
      <c r="C16" s="5" t="str">
        <f>Data_Entry!C16</f>
        <v>D_H₃O</v>
      </c>
      <c r="D16" s="8">
        <f>Data_Entry!I16</f>
        <v>0.639370175042</v>
      </c>
      <c r="E16" s="8" t="e">
        <f ca="1">Data_Entry!K16</f>
        <v>#NAME?</v>
      </c>
      <c r="F16" s="8" t="e">
        <f ca="1">Data_Entry!J16</f>
        <v>#NAME?</v>
      </c>
      <c r="G16" s="5">
        <f>Data_Entry!H16</f>
        <v>3</v>
      </c>
      <c r="H16" s="5" t="str">
        <f>Data_Entry!L16</f>
        <v>Å²/ps</v>
      </c>
      <c r="I16" s="18">
        <f>Data_Entry!D16</f>
        <v>0.6</v>
      </c>
    </row>
    <row r="17" spans="1:9">
      <c r="A17" s="4" t="str">
        <f>Data_Entry!A17</f>
        <v>DP-H2OPD</v>
      </c>
      <c r="B17" s="5" t="str">
        <f>Data_Entry!B17</f>
        <v>300 K, 1 atm / proton-defect water</v>
      </c>
      <c r="C17" s="5" t="str">
        <f>Data_Entry!C17</f>
        <v>D_OH</v>
      </c>
      <c r="D17" s="8">
        <f>Data_Entry!I17</f>
        <v>1.0947111853333333</v>
      </c>
      <c r="E17" s="8" t="e">
        <f ca="1">Data_Entry!K17</f>
        <v>#NAME?</v>
      </c>
      <c r="F17" s="8" t="e">
        <f ca="1">Data_Entry!J17</f>
        <v>#NAME?</v>
      </c>
      <c r="G17" s="5">
        <f>Data_Entry!H17</f>
        <v>3</v>
      </c>
      <c r="H17" s="5" t="str">
        <f>Data_Entry!L17</f>
        <v>Å²/ps</v>
      </c>
      <c r="I17" s="18">
        <f>Data_Entry!D17</f>
        <v>1</v>
      </c>
    </row>
    <row r="18" spans="1:9">
      <c r="A18" s="4" t="str">
        <f>Data_Entry!A18</f>
        <v>ANI-1xnr</v>
      </c>
      <c r="B18" s="5" t="str">
        <f>Data_Entry!B18</f>
        <v>300 K, 1 atm / proton-defect water</v>
      </c>
      <c r="C18" s="5" t="str">
        <f>Data_Entry!C18</f>
        <v>D_H₂O</v>
      </c>
      <c r="D18" s="8">
        <f>Data_Entry!I18</f>
        <v>2.9011923333333332E-2</v>
      </c>
      <c r="E18" s="8" t="e">
        <f ca="1">Data_Entry!K18</f>
        <v>#NAME?</v>
      </c>
      <c r="F18" s="8" t="e">
        <f ca="1">Data_Entry!J18</f>
        <v>#NAME?</v>
      </c>
      <c r="G18" s="5">
        <f>Data_Entry!H18</f>
        <v>3</v>
      </c>
      <c r="H18" s="5" t="str">
        <f>Data_Entry!L18</f>
        <v>Å²/ps</v>
      </c>
      <c r="I18" s="18">
        <f>Data_Entry!D18</f>
        <v>0.03</v>
      </c>
    </row>
    <row r="19" spans="1:9">
      <c r="A19" s="4" t="str">
        <f>Data_Entry!A19</f>
        <v>ANI-1xnr</v>
      </c>
      <c r="B19" s="5" t="str">
        <f>Data_Entry!B19</f>
        <v>300 K, 1 atm / proton-defect water</v>
      </c>
      <c r="C19" s="5" t="str">
        <f>Data_Entry!C19</f>
        <v>D_H₃O</v>
      </c>
      <c r="D19" s="8">
        <f>Data_Entry!I19</f>
        <v>0.53492266995933335</v>
      </c>
      <c r="E19" s="8" t="e">
        <f ca="1">Data_Entry!K19</f>
        <v>#NAME?</v>
      </c>
      <c r="F19" s="8" t="e">
        <f ca="1">Data_Entry!J19</f>
        <v>#NAME?</v>
      </c>
      <c r="G19" s="5">
        <f>Data_Entry!H19</f>
        <v>3</v>
      </c>
      <c r="H19" s="5" t="str">
        <f>Data_Entry!L19</f>
        <v>Å²/ps</v>
      </c>
      <c r="I19" s="18">
        <f>Data_Entry!D19</f>
        <v>0.57999999999999996</v>
      </c>
    </row>
    <row r="20" spans="1:9">
      <c r="A20" s="4" t="str">
        <f>Data_Entry!A20</f>
        <v>ANI-1xnr</v>
      </c>
      <c r="B20" s="5" t="str">
        <f>Data_Entry!B20</f>
        <v>300 K, 1 atm / proton-defect water</v>
      </c>
      <c r="C20" s="5" t="str">
        <f>Data_Entry!C20</f>
        <v>D_OH</v>
      </c>
      <c r="D20" s="8">
        <f>Data_Entry!I20</f>
        <v>1.1416228161813333</v>
      </c>
      <c r="E20" s="8" t="e">
        <f ca="1">Data_Entry!K20</f>
        <v>#NAME?</v>
      </c>
      <c r="F20" s="8" t="e">
        <f ca="1">Data_Entry!J20</f>
        <v>#NAME?</v>
      </c>
      <c r="G20" s="5">
        <f>Data_Entry!H20</f>
        <v>3</v>
      </c>
      <c r="H20" s="5" t="str">
        <f>Data_Entry!L20</f>
        <v>Å²/ps</v>
      </c>
      <c r="I20" s="18">
        <f>Data_Entry!D20</f>
        <v>1.1299999999999999</v>
      </c>
    </row>
    <row r="21" spans="1:9">
      <c r="A21" s="4" t="str">
        <f>Data_Entry!A21</f>
        <v>ReaxFF</v>
      </c>
      <c r="B21" s="5" t="str">
        <f>Data_Entry!B21</f>
        <v>300 K, 1 atm / proton-defect water</v>
      </c>
      <c r="C21" s="5" t="str">
        <f>Data_Entry!C21</f>
        <v>D_H₂O</v>
      </c>
      <c r="D21" s="8">
        <f>Data_Entry!I21</f>
        <v>0.3205013333333333</v>
      </c>
      <c r="E21" s="8" t="e">
        <f ca="1">Data_Entry!K21</f>
        <v>#NAME?</v>
      </c>
      <c r="F21" s="8" t="e">
        <f ca="1">Data_Entry!J21</f>
        <v>#NAME?</v>
      </c>
      <c r="G21" s="5">
        <f>Data_Entry!H21</f>
        <v>3</v>
      </c>
      <c r="H21" s="5" t="str">
        <f>Data_Entry!L21</f>
        <v>Å²/ps</v>
      </c>
      <c r="I21" s="18">
        <f>Data_Entry!D21</f>
        <v>0.27</v>
      </c>
    </row>
    <row r="22" spans="1:9">
      <c r="A22" s="4" t="str">
        <f>Data_Entry!A22</f>
        <v>ReaxFF</v>
      </c>
      <c r="B22" s="5" t="str">
        <f>Data_Entry!B22</f>
        <v>300 K, 1 atm / proton-defect water</v>
      </c>
      <c r="C22" s="5" t="str">
        <f>Data_Entry!C22</f>
        <v>D_H₃O</v>
      </c>
      <c r="D22" s="8">
        <f>Data_Entry!I22</f>
        <v>1.0233254976014334</v>
      </c>
      <c r="E22" s="8" t="e">
        <f ca="1">Data_Entry!K22</f>
        <v>#NAME?</v>
      </c>
      <c r="F22" s="8" t="e">
        <f ca="1">Data_Entry!J22</f>
        <v>#NAME?</v>
      </c>
      <c r="G22" s="5">
        <f>Data_Entry!H22</f>
        <v>3</v>
      </c>
      <c r="H22" s="5" t="str">
        <f>Data_Entry!L22</f>
        <v>Å²/ps</v>
      </c>
      <c r="I22" s="18">
        <f>Data_Entry!D22</f>
        <v>0.95</v>
      </c>
    </row>
    <row r="23" spans="1:9">
      <c r="A23" s="4" t="str">
        <f>Data_Entry!A23</f>
        <v>ReaxFF</v>
      </c>
      <c r="B23" s="5" t="str">
        <f>Data_Entry!B23</f>
        <v>300 K, 1 atm / proton-defect water</v>
      </c>
      <c r="C23" s="5" t="str">
        <f>Data_Entry!C23</f>
        <v>D_OH</v>
      </c>
      <c r="D23" s="8">
        <f>Data_Entry!I23</f>
        <v>0.72111358660000002</v>
      </c>
      <c r="E23" s="8" t="e">
        <f ca="1">Data_Entry!K23</f>
        <v>#NAME?</v>
      </c>
      <c r="F23" s="8" t="e">
        <f ca="1">Data_Entry!J23</f>
        <v>#NAME?</v>
      </c>
      <c r="G23" s="5">
        <f>Data_Entry!H23</f>
        <v>3</v>
      </c>
      <c r="H23" s="5" t="str">
        <f>Data_Entry!L23</f>
        <v>Å²/ps</v>
      </c>
      <c r="I23" s="18">
        <f>Data_Entry!D23</f>
        <v>0.98</v>
      </c>
    </row>
    <row r="24" spans="1:9">
      <c r="A24" s="4" t="str">
        <f>Data_Entry!A24</f>
        <v>MACE</v>
      </c>
      <c r="B24" s="5" t="str">
        <f>Data_Entry!B24</f>
        <v>300 K, 1 atm / proton-defect water</v>
      </c>
      <c r="C24" s="5" t="str">
        <f>Data_Entry!C24</f>
        <v>D_H₂O</v>
      </c>
      <c r="D24" s="8">
        <f>Data_Entry!I24</f>
        <v>0.14000000000000001</v>
      </c>
      <c r="E24" s="8" t="str">
        <f>Data_Entry!K24</f>
        <v/>
      </c>
      <c r="F24" s="8" t="str">
        <f>Data_Entry!J24</f>
        <v/>
      </c>
      <c r="G24" s="5">
        <f>Data_Entry!H24</f>
        <v>1</v>
      </c>
      <c r="H24" s="5" t="str">
        <f>Data_Entry!L24</f>
        <v>Å²/ps</v>
      </c>
      <c r="I24" s="18">
        <f>Data_Entry!D24</f>
        <v>0.14000000000000001</v>
      </c>
    </row>
    <row r="25" spans="1:9">
      <c r="A25" s="4" t="str">
        <f>Data_Entry!A25</f>
        <v>MACE</v>
      </c>
      <c r="B25" s="5" t="str">
        <f>Data_Entry!B25</f>
        <v>300 K, 1 atm / proton-defect water</v>
      </c>
      <c r="C25" s="5" t="str">
        <f>Data_Entry!C25</f>
        <v>D_H₃O</v>
      </c>
      <c r="D25" s="8">
        <f>Data_Entry!I25</f>
        <v>7.70740888928E-2</v>
      </c>
      <c r="E25" s="8" t="str">
        <f>Data_Entry!K25</f>
        <v/>
      </c>
      <c r="F25" s="8" t="str">
        <f>Data_Entry!J25</f>
        <v/>
      </c>
      <c r="G25" s="5">
        <f>Data_Entry!H25</f>
        <v>1</v>
      </c>
      <c r="H25" s="5" t="str">
        <f>Data_Entry!L25</f>
        <v>Å²/ps</v>
      </c>
      <c r="I25" s="18">
        <f>Data_Entry!D25</f>
        <v>0.08</v>
      </c>
    </row>
    <row r="26" spans="1:9">
      <c r="A26" s="4" t="str">
        <f>Data_Entry!A26</f>
        <v>MACE</v>
      </c>
      <c r="B26" s="5" t="str">
        <f>Data_Entry!B26</f>
        <v>300 K, 1 atm / proton-defect water</v>
      </c>
      <c r="C26" s="5" t="str">
        <f>Data_Entry!C26</f>
        <v>D_OH</v>
      </c>
      <c r="D26" s="8">
        <f>Data_Entry!I26</f>
        <v>0.33</v>
      </c>
      <c r="E26" s="8" t="str">
        <f>Data_Entry!K26</f>
        <v/>
      </c>
      <c r="F26" s="8" t="str">
        <f>Data_Entry!J26</f>
        <v/>
      </c>
      <c r="G26" s="5">
        <f>Data_Entry!H26</f>
        <v>1</v>
      </c>
      <c r="H26" s="5" t="str">
        <f>Data_Entry!L26</f>
        <v>Å²/ps</v>
      </c>
      <c r="I26" s="18">
        <f>Data_Entry!D26</f>
        <v>0.33</v>
      </c>
    </row>
    <row r="27" spans="1:9">
      <c r="A27" s="4" t="str">
        <f>Data_Entry!A27</f>
        <v>DP-H3O/OH</v>
      </c>
      <c r="B27" s="5" t="str">
        <f>Data_Entry!B27</f>
        <v>300 K, 1 atm / proton-defect water</v>
      </c>
      <c r="C27" s="5" t="str">
        <f>Data_Entry!C27</f>
        <v>D_H₂O</v>
      </c>
      <c r="D27" s="8">
        <f>Data_Entry!I27</f>
        <v>1.0381208499999999E-2</v>
      </c>
      <c r="E27" s="8" t="e">
        <f ca="1">Data_Entry!K27</f>
        <v>#NAME?</v>
      </c>
      <c r="F27" s="8" t="e">
        <f ca="1">Data_Entry!J27</f>
        <v>#NAME?</v>
      </c>
      <c r="G27" s="5">
        <f>Data_Entry!H27</f>
        <v>2</v>
      </c>
      <c r="H27" s="5" t="str">
        <f>Data_Entry!L27</f>
        <v>Å²/ps</v>
      </c>
      <c r="I27" s="18">
        <f>Data_Entry!D27</f>
        <v>0</v>
      </c>
    </row>
    <row r="28" spans="1:9">
      <c r="A28" s="4" t="str">
        <f>Data_Entry!A28</f>
        <v>DP-H3O/OH</v>
      </c>
      <c r="B28" s="5" t="str">
        <f>Data_Entry!B28</f>
        <v>300 K, 1 atm / proton-defect water</v>
      </c>
      <c r="C28" s="5" t="str">
        <f>Data_Entry!C28</f>
        <v>D_H₃O</v>
      </c>
      <c r="D28" s="8">
        <f>Data_Entry!I28</f>
        <v>1.7222853409090001E-2</v>
      </c>
      <c r="E28" s="8" t="str">
        <f>Data_Entry!K28</f>
        <v/>
      </c>
      <c r="F28" s="8" t="str">
        <f>Data_Entry!J28</f>
        <v/>
      </c>
      <c r="G28" s="5">
        <f>Data_Entry!H28</f>
        <v>1</v>
      </c>
      <c r="H28" s="5" t="str">
        <f>Data_Entry!L28</f>
        <v>Å²/ps</v>
      </c>
      <c r="I28" s="18">
        <f>Data_Entry!D28</f>
        <v>0.02</v>
      </c>
    </row>
    <row r="29" spans="1:9">
      <c r="A29" s="4" t="str">
        <f>Data_Entry!A29</f>
        <v>DP-H3O/OH</v>
      </c>
      <c r="B29" s="5" t="str">
        <f>Data_Entry!B29</f>
        <v>300 K, 1 atm / proton-defect water</v>
      </c>
      <c r="C29" s="5" t="str">
        <f>Data_Entry!C29</f>
        <v>D_OH</v>
      </c>
      <c r="D29" s="8">
        <f>Data_Entry!I29</f>
        <v>0.1800471448</v>
      </c>
      <c r="E29" s="8" t="str">
        <f>Data_Entry!K29</f>
        <v/>
      </c>
      <c r="F29" s="8" t="str">
        <f>Data_Entry!J29</f>
        <v/>
      </c>
      <c r="G29" s="5">
        <f>Data_Entry!H29</f>
        <v>1</v>
      </c>
      <c r="H29" s="5" t="str">
        <f>Data_Entry!L29</f>
        <v>Å²/ps</v>
      </c>
      <c r="I29" s="18">
        <f>Data_Entry!D29</f>
        <v>0.18</v>
      </c>
    </row>
    <row r="30" spans="1:9">
      <c r="A30" s="4" t="str">
        <f>Data_Entry!A30</f>
        <v>AIMD</v>
      </c>
      <c r="B30" s="5" t="str">
        <f>Data_Entry!B30</f>
        <v>1020 K, 11 GPa</v>
      </c>
      <c r="C30" s="5" t="str">
        <f>Data_Entry!C30</f>
        <v>D_O</v>
      </c>
      <c r="D30" s="8">
        <f>Data_Entry!I30</f>
        <v>0.9</v>
      </c>
      <c r="E30" s="8" t="str">
        <f>Data_Entry!K30</f>
        <v/>
      </c>
      <c r="F30" s="8" t="str">
        <f>Data_Entry!J30</f>
        <v/>
      </c>
      <c r="G30" s="5">
        <f>Data_Entry!H30</f>
        <v>1</v>
      </c>
      <c r="H30" s="5" t="str">
        <f>Data_Entry!L30</f>
        <v>Å²/ps</v>
      </c>
      <c r="I30" s="18">
        <f>Data_Entry!D30</f>
        <v>0.9</v>
      </c>
    </row>
    <row r="31" spans="1:9">
      <c r="A31" s="4" t="str">
        <f>Data_Entry!A31</f>
        <v>AIMD</v>
      </c>
      <c r="B31" s="5" t="str">
        <f>Data_Entry!B31</f>
        <v>1020 K, 11 GPa</v>
      </c>
      <c r="C31" s="5" t="str">
        <f>Data_Entry!C31</f>
        <v>D_H</v>
      </c>
      <c r="D31" s="8">
        <f>Data_Entry!I31</f>
        <v>0.9</v>
      </c>
      <c r="E31" s="8" t="str">
        <f>Data_Entry!K31</f>
        <v/>
      </c>
      <c r="F31" s="8" t="str">
        <f>Data_Entry!J31</f>
        <v/>
      </c>
      <c r="G31" s="5">
        <f>Data_Entry!H31</f>
        <v>1</v>
      </c>
      <c r="H31" s="5" t="str">
        <f>Data_Entry!L31</f>
        <v>Å²/ps</v>
      </c>
      <c r="I31" s="18">
        <f>Data_Entry!D31</f>
        <v>0.9</v>
      </c>
    </row>
    <row r="32" spans="1:9">
      <c r="A32" s="4" t="str">
        <f>Data_Entry!A32</f>
        <v>AIMD</v>
      </c>
      <c r="B32" s="5" t="str">
        <f>Data_Entry!B32</f>
        <v>1020 K, 11 GPa</v>
      </c>
      <c r="C32" s="5" t="str">
        <f>Data_Entry!C32</f>
        <v>rho</v>
      </c>
      <c r="D32" s="8">
        <f>Data_Entry!I32</f>
        <v>1.57</v>
      </c>
      <c r="E32" s="8" t="str">
        <f>Data_Entry!K32</f>
        <v/>
      </c>
      <c r="F32" s="8" t="str">
        <f>Data_Entry!J32</f>
        <v/>
      </c>
      <c r="G32" s="5">
        <f>Data_Entry!H32</f>
        <v>1</v>
      </c>
      <c r="H32" s="5" t="str">
        <f>Data_Entry!L32</f>
        <v>g/cm³</v>
      </c>
      <c r="I32" s="18">
        <f>Data_Entry!D32</f>
        <v>1.57</v>
      </c>
    </row>
    <row r="33" spans="1:9">
      <c r="A33" s="4" t="str">
        <f>Data_Entry!A33</f>
        <v>EeFF</v>
      </c>
      <c r="B33" s="5" t="str">
        <f>Data_Entry!B33</f>
        <v>1020 K, 11 GPa</v>
      </c>
      <c r="C33" s="5" t="str">
        <f>Data_Entry!C33</f>
        <v>D_O</v>
      </c>
      <c r="D33" s="8">
        <f>Data_Entry!I33</f>
        <v>0.87974089851083326</v>
      </c>
      <c r="E33" s="8" t="e">
        <f ca="1">Data_Entry!K33</f>
        <v>#NAME?</v>
      </c>
      <c r="F33" s="8" t="e">
        <f ca="1">Data_Entry!J33</f>
        <v>#NAME?</v>
      </c>
      <c r="G33" s="5">
        <f>Data_Entry!H33</f>
        <v>3</v>
      </c>
      <c r="H33" s="5" t="str">
        <f>Data_Entry!L33</f>
        <v>Å²/ps</v>
      </c>
      <c r="I33" s="18">
        <f>Data_Entry!D33</f>
        <v>0.8</v>
      </c>
    </row>
    <row r="34" spans="1:9">
      <c r="A34" s="4" t="str">
        <f>Data_Entry!A34</f>
        <v>EeFF</v>
      </c>
      <c r="B34" s="5" t="str">
        <f>Data_Entry!B34</f>
        <v>1020 K, 11 GPa</v>
      </c>
      <c r="C34" s="5" t="str">
        <f>Data_Entry!C34</f>
        <v>D_H</v>
      </c>
      <c r="D34" s="8">
        <f>Data_Entry!I34</f>
        <v>0.92722903076746677</v>
      </c>
      <c r="E34" s="8" t="e">
        <f ca="1">Data_Entry!K34</f>
        <v>#NAME?</v>
      </c>
      <c r="F34" s="8" t="e">
        <f ca="1">Data_Entry!J34</f>
        <v>#NAME?</v>
      </c>
      <c r="G34" s="5">
        <f>Data_Entry!H34</f>
        <v>3</v>
      </c>
      <c r="H34" s="5" t="str">
        <f>Data_Entry!L34</f>
        <v>Å²/ps</v>
      </c>
      <c r="I34" s="18">
        <f>Data_Entry!D34</f>
        <v>0.82</v>
      </c>
    </row>
    <row r="35" spans="1:9">
      <c r="A35" s="4" t="str">
        <f>Data_Entry!A35</f>
        <v>EeFF</v>
      </c>
      <c r="B35" s="5" t="str">
        <f>Data_Entry!B35</f>
        <v>1020 K, 11 GPa</v>
      </c>
      <c r="C35" s="5" t="str">
        <f>Data_Entry!C35</f>
        <v>rho</v>
      </c>
      <c r="D35" s="8">
        <f>Data_Entry!I35</f>
        <v>1.6776562580000001</v>
      </c>
      <c r="E35" s="8" t="e">
        <f ca="1">Data_Entry!K35</f>
        <v>#NAME?</v>
      </c>
      <c r="F35" s="8" t="e">
        <f ca="1">Data_Entry!J35</f>
        <v>#NAME?</v>
      </c>
      <c r="G35" s="5">
        <f>Data_Entry!H35</f>
        <v>3</v>
      </c>
      <c r="H35" s="5" t="str">
        <f>Data_Entry!L35</f>
        <v>g/cm³</v>
      </c>
      <c r="I35" s="18">
        <f>Data_Entry!D35</f>
        <v>1.69</v>
      </c>
    </row>
    <row r="36" spans="1:9">
      <c r="A36" s="4" t="str">
        <f>Data_Entry!A36</f>
        <v>Cheng-MLP</v>
      </c>
      <c r="B36" s="5" t="str">
        <f>Data_Entry!B36</f>
        <v>1020 K, 11 GPa</v>
      </c>
      <c r="C36" s="5" t="str">
        <f>Data_Entry!C36</f>
        <v>D_O</v>
      </c>
      <c r="D36" s="8">
        <f>Data_Entry!I36</f>
        <v>0.72047085623590001</v>
      </c>
      <c r="E36" s="8" t="e">
        <f ca="1">Data_Entry!K36</f>
        <v>#NAME?</v>
      </c>
      <c r="F36" s="8" t="e">
        <f ca="1">Data_Entry!J36</f>
        <v>#NAME?</v>
      </c>
      <c r="G36" s="5">
        <f>Data_Entry!H36</f>
        <v>3</v>
      </c>
      <c r="H36" s="5" t="str">
        <f>Data_Entry!L36</f>
        <v>Å²/ps</v>
      </c>
      <c r="I36" s="18">
        <f>Data_Entry!D36</f>
        <v>0.73</v>
      </c>
    </row>
    <row r="37" spans="1:9">
      <c r="A37" s="4" t="str">
        <f>Data_Entry!A37</f>
        <v>Cheng-MLP</v>
      </c>
      <c r="B37" s="5" t="str">
        <f>Data_Entry!B37</f>
        <v>1020 K, 11 GPa</v>
      </c>
      <c r="C37" s="5" t="str">
        <f>Data_Entry!C37</f>
        <v>D_H</v>
      </c>
      <c r="D37" s="8">
        <f>Data_Entry!I37</f>
        <v>0.7781033897484666</v>
      </c>
      <c r="E37" s="8" t="e">
        <f ca="1">Data_Entry!K37</f>
        <v>#NAME?</v>
      </c>
      <c r="F37" s="8" t="e">
        <f ca="1">Data_Entry!J37</f>
        <v>#NAME?</v>
      </c>
      <c r="G37" s="5">
        <f>Data_Entry!H37</f>
        <v>3</v>
      </c>
      <c r="H37" s="5" t="str">
        <f>Data_Entry!L37</f>
        <v>Å²/ps</v>
      </c>
      <c r="I37" s="18">
        <f>Data_Entry!D37</f>
        <v>0.78</v>
      </c>
    </row>
    <row r="38" spans="1:9">
      <c r="A38" s="4" t="str">
        <f>Data_Entry!A38</f>
        <v>Cheng-MLP</v>
      </c>
      <c r="B38" s="5" t="str">
        <f>Data_Entry!B38</f>
        <v>1020 K, 11 GPa</v>
      </c>
      <c r="C38" s="5" t="str">
        <f>Data_Entry!C38</f>
        <v>rho</v>
      </c>
      <c r="D38" s="8">
        <f>Data_Entry!I38</f>
        <v>1.6082538276946667</v>
      </c>
      <c r="E38" s="8" t="e">
        <f ca="1">Data_Entry!K38</f>
        <v>#NAME?</v>
      </c>
      <c r="F38" s="8" t="e">
        <f ca="1">Data_Entry!J38</f>
        <v>#NAME?</v>
      </c>
      <c r="G38" s="5">
        <f>Data_Entry!H38</f>
        <v>3</v>
      </c>
      <c r="H38" s="5" t="str">
        <f>Data_Entry!L38</f>
        <v>g/cm³</v>
      </c>
      <c r="I38" s="18">
        <f>Data_Entry!D38</f>
        <v>1.61</v>
      </c>
    </row>
    <row r="39" spans="1:9">
      <c r="A39" s="4" t="str">
        <f>Data_Entry!A39</f>
        <v>DP-H2OPD</v>
      </c>
      <c r="B39" s="5" t="str">
        <f>Data_Entry!B39</f>
        <v>1020 K, 11 GPa</v>
      </c>
      <c r="C39" s="5" t="str">
        <f>Data_Entry!C39</f>
        <v>D_O</v>
      </c>
      <c r="D39" s="8">
        <f>Data_Entry!I39</f>
        <v>0.68953653613400012</v>
      </c>
      <c r="E39" s="8" t="e">
        <f ca="1">Data_Entry!K39</f>
        <v>#NAME?</v>
      </c>
      <c r="F39" s="8" t="e">
        <f ca="1">Data_Entry!J39</f>
        <v>#NAME?</v>
      </c>
      <c r="G39" s="5">
        <f>Data_Entry!H39</f>
        <v>3</v>
      </c>
      <c r="H39" s="5" t="str">
        <f>Data_Entry!L39</f>
        <v>Å²/ps</v>
      </c>
      <c r="I39" s="18">
        <f>Data_Entry!D39</f>
        <v>0.69</v>
      </c>
    </row>
    <row r="40" spans="1:9">
      <c r="A40" s="4" t="str">
        <f>Data_Entry!A40</f>
        <v>DP-H2OPD</v>
      </c>
      <c r="B40" s="5" t="str">
        <f>Data_Entry!B40</f>
        <v>1020 K, 11 GPa</v>
      </c>
      <c r="C40" s="5" t="str">
        <f>Data_Entry!C40</f>
        <v>D_H</v>
      </c>
      <c r="D40" s="8">
        <f>Data_Entry!I40</f>
        <v>0.7182404915656333</v>
      </c>
      <c r="E40" s="8" t="e">
        <f ca="1">Data_Entry!K40</f>
        <v>#NAME?</v>
      </c>
      <c r="F40" s="8" t="e">
        <f ca="1">Data_Entry!J40</f>
        <v>#NAME?</v>
      </c>
      <c r="G40" s="5">
        <f>Data_Entry!H40</f>
        <v>3</v>
      </c>
      <c r="H40" s="5" t="str">
        <f>Data_Entry!L40</f>
        <v>Å²/ps</v>
      </c>
      <c r="I40" s="18">
        <f>Data_Entry!D40</f>
        <v>0.72</v>
      </c>
    </row>
    <row r="41" spans="1:9">
      <c r="A41" s="4" t="str">
        <f>Data_Entry!A41</f>
        <v>DP-H2OPD</v>
      </c>
      <c r="B41" s="5" t="str">
        <f>Data_Entry!B41</f>
        <v>1020 K, 11 GPa</v>
      </c>
      <c r="C41" s="5" t="str">
        <f>Data_Entry!C41</f>
        <v>rho</v>
      </c>
      <c r="D41" s="8">
        <f>Data_Entry!I41</f>
        <v>1.6620729793936668</v>
      </c>
      <c r="E41" s="8" t="e">
        <f ca="1">Data_Entry!K41</f>
        <v>#NAME?</v>
      </c>
      <c r="F41" s="8" t="e">
        <f ca="1">Data_Entry!J41</f>
        <v>#NAME?</v>
      </c>
      <c r="G41" s="5">
        <f>Data_Entry!H41</f>
        <v>3</v>
      </c>
      <c r="H41" s="5" t="str">
        <f>Data_Entry!L41</f>
        <v>g/cm³</v>
      </c>
      <c r="I41" s="18">
        <f>Data_Entry!D41</f>
        <v>1.66</v>
      </c>
    </row>
    <row r="42" spans="1:9">
      <c r="A42" s="4" t="str">
        <f>Data_Entry!A42</f>
        <v>ANI-1xnr</v>
      </c>
      <c r="B42" s="5" t="str">
        <f>Data_Entry!B42</f>
        <v>1020 K, 11 GPa</v>
      </c>
      <c r="C42" s="5" t="str">
        <f>Data_Entry!C42</f>
        <v>D_O</v>
      </c>
      <c r="D42" s="8">
        <f>Data_Entry!I42</f>
        <v>0.79029819375519994</v>
      </c>
      <c r="E42" s="8" t="e">
        <f ca="1">Data_Entry!K42</f>
        <v>#NAME?</v>
      </c>
      <c r="F42" s="8" t="e">
        <f ca="1">Data_Entry!J42</f>
        <v>#NAME?</v>
      </c>
      <c r="G42" s="5">
        <f>Data_Entry!H42</f>
        <v>3</v>
      </c>
      <c r="H42" s="5" t="str">
        <f>Data_Entry!L42</f>
        <v>Å²/ps</v>
      </c>
      <c r="I42" s="18">
        <f>Data_Entry!D42</f>
        <v>0.74</v>
      </c>
    </row>
    <row r="43" spans="1:9">
      <c r="A43" s="4" t="str">
        <f>Data_Entry!A43</f>
        <v>ANI-1xnr</v>
      </c>
      <c r="B43" s="5" t="str">
        <f>Data_Entry!B43</f>
        <v>1020 K, 11 GPa</v>
      </c>
      <c r="C43" s="5" t="str">
        <f>Data_Entry!C43</f>
        <v>D_H</v>
      </c>
      <c r="D43" s="8">
        <f>Data_Entry!I43</f>
        <v>0.79029819375519994</v>
      </c>
      <c r="E43" s="8" t="e">
        <f ca="1">Data_Entry!K43</f>
        <v>#NAME?</v>
      </c>
      <c r="F43" s="8" t="e">
        <f ca="1">Data_Entry!J43</f>
        <v>#NAME?</v>
      </c>
      <c r="G43" s="5">
        <f>Data_Entry!H43</f>
        <v>3</v>
      </c>
      <c r="H43" s="5" t="str">
        <f>Data_Entry!L43</f>
        <v>Å²/ps</v>
      </c>
      <c r="I43" s="18">
        <f>Data_Entry!D43</f>
        <v>0.8</v>
      </c>
    </row>
    <row r="44" spans="1:9">
      <c r="A44" s="4" t="str">
        <f>Data_Entry!A44</f>
        <v>ANI-1xnr</v>
      </c>
      <c r="B44" s="5" t="str">
        <f>Data_Entry!B44</f>
        <v>1020 K, 11 GPa</v>
      </c>
      <c r="C44" s="5" t="str">
        <f>Data_Entry!C44</f>
        <v>rho</v>
      </c>
      <c r="D44" s="8">
        <f>Data_Entry!I44</f>
        <v>1.57</v>
      </c>
      <c r="E44" s="8" t="e">
        <f ca="1">Data_Entry!K44</f>
        <v>#NAME?</v>
      </c>
      <c r="F44" s="8" t="e">
        <f ca="1">Data_Entry!J44</f>
        <v>#NAME?</v>
      </c>
      <c r="G44" s="5">
        <f>Data_Entry!H44</f>
        <v>3</v>
      </c>
      <c r="H44" s="5" t="str">
        <f>Data_Entry!L44</f>
        <v>g/cm³</v>
      </c>
      <c r="I44" s="18">
        <f>Data_Entry!D44</f>
        <v>1.57</v>
      </c>
    </row>
    <row r="45" spans="1:9">
      <c r="A45" s="4" t="str">
        <f>Data_Entry!A45</f>
        <v>ReaxFF</v>
      </c>
      <c r="B45" s="5" t="str">
        <f>Data_Entry!B45</f>
        <v>1020 K, 11 GPa</v>
      </c>
      <c r="C45" s="5" t="str">
        <f>Data_Entry!C45</f>
        <v>D_O</v>
      </c>
      <c r="D45" s="8">
        <f>Data_Entry!I45</f>
        <v>0.71320635416086675</v>
      </c>
      <c r="E45" s="8" t="e">
        <f ca="1">Data_Entry!K45</f>
        <v>#NAME?</v>
      </c>
      <c r="F45" s="8" t="e">
        <f ca="1">Data_Entry!J45</f>
        <v>#NAME?</v>
      </c>
      <c r="G45" s="5">
        <f>Data_Entry!H45</f>
        <v>3</v>
      </c>
      <c r="H45" s="5" t="str">
        <f>Data_Entry!L45</f>
        <v>Å²/ps</v>
      </c>
      <c r="I45" s="18">
        <f>Data_Entry!D45</f>
        <v>0.72</v>
      </c>
    </row>
    <row r="46" spans="1:9">
      <c r="A46" s="4" t="str">
        <f>Data_Entry!A46</f>
        <v>ReaxFF</v>
      </c>
      <c r="B46" s="5" t="str">
        <f>Data_Entry!B46</f>
        <v>1020 K, 11 GPa</v>
      </c>
      <c r="C46" s="5" t="str">
        <f>Data_Entry!C46</f>
        <v>D_H</v>
      </c>
      <c r="D46" s="8">
        <f>Data_Entry!I46</f>
        <v>0.71308017756883324</v>
      </c>
      <c r="E46" s="8" t="e">
        <f ca="1">Data_Entry!K46</f>
        <v>#NAME?</v>
      </c>
      <c r="F46" s="8" t="e">
        <f ca="1">Data_Entry!J46</f>
        <v>#NAME?</v>
      </c>
      <c r="G46" s="5">
        <f>Data_Entry!H46</f>
        <v>3</v>
      </c>
      <c r="H46" s="5" t="str">
        <f>Data_Entry!L46</f>
        <v>Å²/ps</v>
      </c>
      <c r="I46" s="18">
        <f>Data_Entry!D46</f>
        <v>0.72</v>
      </c>
    </row>
    <row r="47" spans="1:9">
      <c r="A47" s="4" t="str">
        <f>Data_Entry!A47</f>
        <v>ReaxFF</v>
      </c>
      <c r="B47" s="5" t="str">
        <f>Data_Entry!B47</f>
        <v>1020 K, 11 GPa</v>
      </c>
      <c r="C47" s="5" t="str">
        <f>Data_Entry!C47</f>
        <v>rho</v>
      </c>
      <c r="D47" s="8">
        <f>Data_Entry!I47</f>
        <v>1.6739786816773332</v>
      </c>
      <c r="E47" s="8" t="e">
        <f ca="1">Data_Entry!K47</f>
        <v>#NAME?</v>
      </c>
      <c r="F47" s="8" t="e">
        <f ca="1">Data_Entry!J47</f>
        <v>#NAME?</v>
      </c>
      <c r="G47" s="5">
        <f>Data_Entry!H47</f>
        <v>3</v>
      </c>
      <c r="H47" s="5" t="str">
        <f>Data_Entry!L47</f>
        <v>g/cm³</v>
      </c>
      <c r="I47" s="18">
        <f>Data_Entry!D47</f>
        <v>1.68</v>
      </c>
    </row>
    <row r="48" spans="1:9">
      <c r="A48" s="4" t="str">
        <f>Data_Entry!A48</f>
        <v>Lewis</v>
      </c>
      <c r="B48" s="5" t="str">
        <f>Data_Entry!B48</f>
        <v>1020 K, 11 GPa</v>
      </c>
      <c r="C48" s="5" t="str">
        <f>Data_Entry!C48</f>
        <v>D_O</v>
      </c>
      <c r="D48" s="8">
        <f>Data_Entry!I48</f>
        <v>0.70988985261860005</v>
      </c>
      <c r="E48" s="8" t="e">
        <f ca="1">Data_Entry!K48</f>
        <v>#NAME?</v>
      </c>
      <c r="F48" s="8" t="e">
        <f ca="1">Data_Entry!J48</f>
        <v>#NAME?</v>
      </c>
      <c r="G48" s="5">
        <f>Data_Entry!H48</f>
        <v>3</v>
      </c>
      <c r="H48" s="5" t="str">
        <f>Data_Entry!L48</f>
        <v>Å²/ps</v>
      </c>
      <c r="I48" s="18">
        <f>Data_Entry!D48</f>
        <v>0.69</v>
      </c>
    </row>
    <row r="49" spans="1:9">
      <c r="A49" s="4" t="str">
        <f>Data_Entry!A49</f>
        <v>Lewis</v>
      </c>
      <c r="B49" s="5" t="str">
        <f>Data_Entry!B49</f>
        <v>1020 K, 11 GPa</v>
      </c>
      <c r="C49" s="5" t="str">
        <f>Data_Entry!C49</f>
        <v>D_H</v>
      </c>
      <c r="D49" s="8">
        <f>Data_Entry!I49</f>
        <v>0.70998182526866671</v>
      </c>
      <c r="E49" s="8" t="e">
        <f ca="1">Data_Entry!K49</f>
        <v>#NAME?</v>
      </c>
      <c r="F49" s="8" t="e">
        <f ca="1">Data_Entry!J49</f>
        <v>#NAME?</v>
      </c>
      <c r="G49" s="5">
        <f>Data_Entry!H49</f>
        <v>3</v>
      </c>
      <c r="H49" s="5" t="str">
        <f>Data_Entry!L49</f>
        <v>Å²/ps</v>
      </c>
      <c r="I49" s="18">
        <f>Data_Entry!D49</f>
        <v>0.72</v>
      </c>
    </row>
    <row r="50" spans="1:9">
      <c r="A50" s="4" t="str">
        <f>Data_Entry!A50</f>
        <v>Lewis</v>
      </c>
      <c r="B50" s="5" t="str">
        <f>Data_Entry!B50</f>
        <v>1020 K, 11 GPa</v>
      </c>
      <c r="C50" s="5" t="str">
        <f>Data_Entry!C50</f>
        <v>rho</v>
      </c>
      <c r="D50" s="8">
        <f>Data_Entry!I50</f>
        <v>1.5782656303333333</v>
      </c>
      <c r="E50" s="8" t="e">
        <f ca="1">Data_Entry!K50</f>
        <v>#NAME?</v>
      </c>
      <c r="F50" s="8" t="e">
        <f ca="1">Data_Entry!J50</f>
        <v>#NAME?</v>
      </c>
      <c r="G50" s="5">
        <f>Data_Entry!H50</f>
        <v>3</v>
      </c>
      <c r="H50" s="5" t="str">
        <f>Data_Entry!L50</f>
        <v>g/cm³</v>
      </c>
      <c r="I50" s="18">
        <f>Data_Entry!D50</f>
        <v>1.66</v>
      </c>
    </row>
    <row r="51" spans="1:9">
      <c r="A51" s="4" t="str">
        <f>Data_Entry!A51</f>
        <v>AIMD</v>
      </c>
      <c r="B51" s="5" t="str">
        <f>Data_Entry!B51</f>
        <v>1020 K, 20 GPa</v>
      </c>
      <c r="C51" s="5" t="str">
        <f>Data_Entry!C51</f>
        <v>D_O</v>
      </c>
      <c r="D51" s="8" t="str">
        <f>Data_Entry!I51</f>
        <v/>
      </c>
      <c r="E51" s="8" t="str">
        <f>Data_Entry!K51</f>
        <v/>
      </c>
      <c r="F51" s="8" t="str">
        <f>Data_Entry!J51</f>
        <v/>
      </c>
      <c r="G51" s="5">
        <f>Data_Entry!H51</f>
        <v>0</v>
      </c>
      <c r="H51" s="5" t="str">
        <f>Data_Entry!L51</f>
        <v>Å²/ps</v>
      </c>
      <c r="I51" s="18">
        <f>Data_Entry!D51</f>
        <v>0.3</v>
      </c>
    </row>
    <row r="52" spans="1:9">
      <c r="A52" s="4" t="str">
        <f>Data_Entry!A52</f>
        <v>AIMD</v>
      </c>
      <c r="B52" s="5" t="str">
        <f>Data_Entry!B52</f>
        <v>1020 K, 20 GPa</v>
      </c>
      <c r="C52" s="5" t="str">
        <f>Data_Entry!C52</f>
        <v>D_H</v>
      </c>
      <c r="D52" s="8" t="str">
        <f>Data_Entry!I52</f>
        <v/>
      </c>
      <c r="E52" s="8" t="str">
        <f>Data_Entry!K52</f>
        <v/>
      </c>
      <c r="F52" s="8" t="str">
        <f>Data_Entry!J52</f>
        <v/>
      </c>
      <c r="G52" s="5">
        <f>Data_Entry!H52</f>
        <v>0</v>
      </c>
      <c r="H52" s="5" t="str">
        <f>Data_Entry!L52</f>
        <v>Å²/ps</v>
      </c>
      <c r="I52" s="18">
        <f>Data_Entry!D52</f>
        <v>0.7</v>
      </c>
    </row>
    <row r="53" spans="1:9">
      <c r="A53" s="4" t="str">
        <f>Data_Entry!A53</f>
        <v>AIMD</v>
      </c>
      <c r="B53" s="5" t="str">
        <f>Data_Entry!B53</f>
        <v>1020 K, 20 GPa</v>
      </c>
      <c r="C53" s="5" t="str">
        <f>Data_Entry!C53</f>
        <v>rho</v>
      </c>
      <c r="D53" s="8" t="str">
        <f>Data_Entry!I53</f>
        <v/>
      </c>
      <c r="E53" s="8" t="str">
        <f>Data_Entry!K53</f>
        <v/>
      </c>
      <c r="F53" s="8" t="str">
        <f>Data_Entry!J53</f>
        <v/>
      </c>
      <c r="G53" s="5">
        <f>Data_Entry!H53</f>
        <v>0</v>
      </c>
      <c r="H53" s="5" t="str">
        <f>Data_Entry!L53</f>
        <v>g/cm³</v>
      </c>
      <c r="I53" s="18">
        <f>Data_Entry!D53</f>
        <v>1.86</v>
      </c>
    </row>
    <row r="54" spans="1:9">
      <c r="A54" s="4" t="str">
        <f>Data_Entry!A54</f>
        <v>EeFF</v>
      </c>
      <c r="B54" s="5" t="str">
        <f>Data_Entry!B54</f>
        <v>1020 K, 20 GPa</v>
      </c>
      <c r="C54" s="5" t="str">
        <f>Data_Entry!C54</f>
        <v>D_O</v>
      </c>
      <c r="D54" s="8">
        <f>Data_Entry!I54</f>
        <v>0.20252824766676669</v>
      </c>
      <c r="E54" s="8" t="e">
        <f ca="1">Data_Entry!K54</f>
        <v>#NAME?</v>
      </c>
      <c r="F54" s="8" t="e">
        <f ca="1">Data_Entry!J54</f>
        <v>#NAME?</v>
      </c>
      <c r="G54" s="5">
        <f>Data_Entry!H54</f>
        <v>3</v>
      </c>
      <c r="H54" s="5" t="str">
        <f>Data_Entry!L54</f>
        <v>Å²/ps</v>
      </c>
      <c r="I54" s="18">
        <f>Data_Entry!D54</f>
        <v>0.21</v>
      </c>
    </row>
    <row r="55" spans="1:9">
      <c r="A55" s="4" t="str">
        <f>Data_Entry!A55</f>
        <v>EeFF</v>
      </c>
      <c r="B55" s="5" t="str">
        <f>Data_Entry!B55</f>
        <v>1020 K, 20 GPa</v>
      </c>
      <c r="C55" s="5" t="str">
        <f>Data_Entry!C55</f>
        <v>D_H</v>
      </c>
      <c r="D55" s="8">
        <f>Data_Entry!I55</f>
        <v>0.52491728510559998</v>
      </c>
      <c r="E55" s="8" t="e">
        <f ca="1">Data_Entry!K55</f>
        <v>#NAME?</v>
      </c>
      <c r="F55" s="8" t="e">
        <f ca="1">Data_Entry!J55</f>
        <v>#NAME?</v>
      </c>
      <c r="G55" s="5">
        <f>Data_Entry!H55</f>
        <v>3</v>
      </c>
      <c r="H55" s="5" t="str">
        <f>Data_Entry!L55</f>
        <v>Å²/ps</v>
      </c>
      <c r="I55" s="18">
        <f>Data_Entry!D55</f>
        <v>0.52</v>
      </c>
    </row>
    <row r="56" spans="1:9">
      <c r="A56" s="4" t="str">
        <f>Data_Entry!A56</f>
        <v>EeFF</v>
      </c>
      <c r="B56" s="5" t="str">
        <f>Data_Entry!B56</f>
        <v>1020 K, 20 GPa</v>
      </c>
      <c r="C56" s="5" t="str">
        <f>Data_Entry!C56</f>
        <v>rho</v>
      </c>
      <c r="D56" s="8">
        <f>Data_Entry!I56</f>
        <v>1.9773123823333332</v>
      </c>
      <c r="E56" s="8" t="e">
        <f ca="1">Data_Entry!K56</f>
        <v>#NAME?</v>
      </c>
      <c r="F56" s="8" t="e">
        <f ca="1">Data_Entry!J56</f>
        <v>#NAME?</v>
      </c>
      <c r="G56" s="5">
        <f>Data_Entry!H56</f>
        <v>3</v>
      </c>
      <c r="H56" s="5" t="str">
        <f>Data_Entry!L56</f>
        <v>g/cm³</v>
      </c>
      <c r="I56" s="18">
        <f>Data_Entry!D56</f>
        <v>1.96</v>
      </c>
    </row>
    <row r="57" spans="1:9">
      <c r="A57" s="4" t="str">
        <f>Data_Entry!A57</f>
        <v>Cheng-MLP</v>
      </c>
      <c r="B57" s="5" t="str">
        <f>Data_Entry!B57</f>
        <v>1020 K, 20 GPa</v>
      </c>
      <c r="C57" s="5" t="str">
        <f>Data_Entry!C57</f>
        <v>D_O</v>
      </c>
      <c r="D57" s="8">
        <f>Data_Entry!I57</f>
        <v>0.29224999392050005</v>
      </c>
      <c r="E57" s="8" t="e">
        <f ca="1">Data_Entry!K57</f>
        <v>#NAME?</v>
      </c>
      <c r="F57" s="8" t="e">
        <f ca="1">Data_Entry!J57</f>
        <v>#NAME?</v>
      </c>
      <c r="G57" s="5">
        <f>Data_Entry!H57</f>
        <v>3</v>
      </c>
      <c r="H57" s="5" t="str">
        <f>Data_Entry!L57</f>
        <v>Å²/ps</v>
      </c>
      <c r="I57" s="18">
        <f>Data_Entry!D57</f>
        <v>0.3</v>
      </c>
    </row>
    <row r="58" spans="1:9">
      <c r="A58" s="4" t="str">
        <f>Data_Entry!A58</f>
        <v>Cheng-MLP</v>
      </c>
      <c r="B58" s="5" t="str">
        <f>Data_Entry!B58</f>
        <v>1020 K, 20 GPa</v>
      </c>
      <c r="C58" s="5" t="str">
        <f>Data_Entry!C58</f>
        <v>D_H</v>
      </c>
      <c r="D58" s="8">
        <f>Data_Entry!I58</f>
        <v>0.43674426256859999</v>
      </c>
      <c r="E58" s="8" t="e">
        <f ca="1">Data_Entry!K58</f>
        <v>#NAME?</v>
      </c>
      <c r="F58" s="8" t="e">
        <f ca="1">Data_Entry!J58</f>
        <v>#NAME?</v>
      </c>
      <c r="G58" s="5">
        <f>Data_Entry!H58</f>
        <v>3</v>
      </c>
      <c r="H58" s="5" t="str">
        <f>Data_Entry!L58</f>
        <v>Å²/ps</v>
      </c>
      <c r="I58" s="18">
        <f>Data_Entry!D58</f>
        <v>0.44</v>
      </c>
    </row>
    <row r="59" spans="1:9">
      <c r="A59" s="4" t="str">
        <f>Data_Entry!A59</f>
        <v>Cheng-MLP</v>
      </c>
      <c r="B59" s="5" t="str">
        <f>Data_Entry!B59</f>
        <v>1020 K, 20 GPa</v>
      </c>
      <c r="C59" s="5" t="str">
        <f>Data_Entry!C59</f>
        <v>rho</v>
      </c>
      <c r="D59" s="8">
        <f>Data_Entry!I59</f>
        <v>1.8668391014923333</v>
      </c>
      <c r="E59" s="8" t="e">
        <f ca="1">Data_Entry!K59</f>
        <v>#NAME?</v>
      </c>
      <c r="F59" s="8" t="e">
        <f ca="1">Data_Entry!J59</f>
        <v>#NAME?</v>
      </c>
      <c r="G59" s="5">
        <f>Data_Entry!H59</f>
        <v>3</v>
      </c>
      <c r="H59" s="5" t="str">
        <f>Data_Entry!L59</f>
        <v>g/cm³</v>
      </c>
      <c r="I59" s="18">
        <f>Data_Entry!D59</f>
        <v>1.87</v>
      </c>
    </row>
    <row r="60" spans="1:9">
      <c r="A60" s="4" t="str">
        <f>Data_Entry!A60</f>
        <v>DP-H2OPD</v>
      </c>
      <c r="B60" s="5" t="str">
        <f>Data_Entry!B60</f>
        <v>1020 K, 20 GPa</v>
      </c>
      <c r="C60" s="5" t="str">
        <f>Data_Entry!C60</f>
        <v>D_O</v>
      </c>
      <c r="D60" s="8">
        <f>Data_Entry!I60</f>
        <v>0.29320347689670001</v>
      </c>
      <c r="E60" s="8" t="e">
        <f ca="1">Data_Entry!K60</f>
        <v>#NAME?</v>
      </c>
      <c r="F60" s="8" t="e">
        <f ca="1">Data_Entry!J60</f>
        <v>#NAME?</v>
      </c>
      <c r="G60" s="5">
        <f>Data_Entry!H60</f>
        <v>3</v>
      </c>
      <c r="H60" s="5" t="str">
        <f>Data_Entry!L60</f>
        <v>Å²/ps</v>
      </c>
      <c r="I60" s="18">
        <f>Data_Entry!D60</f>
        <v>0.28999999999999998</v>
      </c>
    </row>
    <row r="61" spans="1:9">
      <c r="A61" s="4" t="str">
        <f>Data_Entry!A61</f>
        <v>DP-H2OPD</v>
      </c>
      <c r="B61" s="5" t="str">
        <f>Data_Entry!B61</f>
        <v>1020 K, 20 GPa</v>
      </c>
      <c r="C61" s="5" t="str">
        <f>Data_Entry!C61</f>
        <v>D_H</v>
      </c>
      <c r="D61" s="8">
        <f>Data_Entry!I61</f>
        <v>0.41074649753086662</v>
      </c>
      <c r="E61" s="8" t="e">
        <f ca="1">Data_Entry!K61</f>
        <v>#NAME?</v>
      </c>
      <c r="F61" s="8" t="e">
        <f ca="1">Data_Entry!J61</f>
        <v>#NAME?</v>
      </c>
      <c r="G61" s="5">
        <f>Data_Entry!H61</f>
        <v>3</v>
      </c>
      <c r="H61" s="5" t="str">
        <f>Data_Entry!L61</f>
        <v>Å²/ps</v>
      </c>
      <c r="I61" s="18">
        <f>Data_Entry!D61</f>
        <v>0.41</v>
      </c>
    </row>
    <row r="62" spans="1:9">
      <c r="A62" s="4" t="str">
        <f>Data_Entry!A62</f>
        <v>DP-H2OPD</v>
      </c>
      <c r="B62" s="5" t="str">
        <f>Data_Entry!B62</f>
        <v>1020 K, 20 GPa</v>
      </c>
      <c r="C62" s="5" t="str">
        <f>Data_Entry!C62</f>
        <v>rho</v>
      </c>
      <c r="D62" s="8">
        <f>Data_Entry!I62</f>
        <v>1.925633648559</v>
      </c>
      <c r="E62" s="8" t="e">
        <f ca="1">Data_Entry!K62</f>
        <v>#NAME?</v>
      </c>
      <c r="F62" s="8" t="e">
        <f ca="1">Data_Entry!J62</f>
        <v>#NAME?</v>
      </c>
      <c r="G62" s="5">
        <f>Data_Entry!H62</f>
        <v>3</v>
      </c>
      <c r="H62" s="5" t="str">
        <f>Data_Entry!L62</f>
        <v>g/cm³</v>
      </c>
      <c r="I62" s="18">
        <f>Data_Entry!D62</f>
        <v>1.93</v>
      </c>
    </row>
    <row r="63" spans="1:9">
      <c r="A63" s="4" t="str">
        <f>Data_Entry!A63</f>
        <v>ANI-1xnr</v>
      </c>
      <c r="B63" s="5" t="str">
        <f>Data_Entry!B63</f>
        <v>1020 K, 20 GPa</v>
      </c>
      <c r="C63" s="5" t="str">
        <f>Data_Entry!C63</f>
        <v>D_O</v>
      </c>
      <c r="D63" s="8">
        <f>Data_Entry!I63</f>
        <v>0.29621365507026665</v>
      </c>
      <c r="E63" s="8" t="e">
        <f ca="1">Data_Entry!K63</f>
        <v>#NAME?</v>
      </c>
      <c r="F63" s="8" t="e">
        <f ca="1">Data_Entry!J63</f>
        <v>#NAME?</v>
      </c>
      <c r="G63" s="5">
        <f>Data_Entry!H63</f>
        <v>3</v>
      </c>
      <c r="H63" s="5" t="str">
        <f>Data_Entry!L63</f>
        <v>Å²/ps</v>
      </c>
      <c r="I63" s="18">
        <f>Data_Entry!D63</f>
        <v>0.31</v>
      </c>
    </row>
    <row r="64" spans="1:9">
      <c r="A64" s="4" t="str">
        <f>Data_Entry!A64</f>
        <v>ANI-1xnr</v>
      </c>
      <c r="B64" s="5" t="str">
        <f>Data_Entry!B64</f>
        <v>1020 K, 20 GPa</v>
      </c>
      <c r="C64" s="5" t="str">
        <f>Data_Entry!C64</f>
        <v>D_H</v>
      </c>
      <c r="D64" s="8">
        <f>Data_Entry!I64</f>
        <v>0.55544148103463342</v>
      </c>
      <c r="E64" s="8" t="e">
        <f ca="1">Data_Entry!K64</f>
        <v>#NAME?</v>
      </c>
      <c r="F64" s="8" t="e">
        <f ca="1">Data_Entry!J64</f>
        <v>#NAME?</v>
      </c>
      <c r="G64" s="5">
        <f>Data_Entry!H64</f>
        <v>3</v>
      </c>
      <c r="H64" s="5" t="str">
        <f>Data_Entry!L64</f>
        <v>Å²/ps</v>
      </c>
      <c r="I64" s="18">
        <f>Data_Entry!D64</f>
        <v>0.56000000000000005</v>
      </c>
    </row>
    <row r="65" spans="1:9">
      <c r="A65" s="4" t="str">
        <f>Data_Entry!A65</f>
        <v>ANI-1xnr</v>
      </c>
      <c r="B65" s="5" t="str">
        <f>Data_Entry!B65</f>
        <v>1020 K, 20 GPa</v>
      </c>
      <c r="C65" s="5" t="str">
        <f>Data_Entry!C65</f>
        <v>rho</v>
      </c>
      <c r="D65" s="8">
        <f>Data_Entry!I65</f>
        <v>1.86</v>
      </c>
      <c r="E65" s="8" t="e">
        <f ca="1">Data_Entry!K65</f>
        <v>#NAME?</v>
      </c>
      <c r="F65" s="8" t="e">
        <f ca="1">Data_Entry!J65</f>
        <v>#NAME?</v>
      </c>
      <c r="G65" s="5">
        <f>Data_Entry!H65</f>
        <v>3</v>
      </c>
      <c r="H65" s="5" t="str">
        <f>Data_Entry!L65</f>
        <v>g/cm³</v>
      </c>
      <c r="I65" s="18">
        <f>Data_Entry!D65</f>
        <v>1.86</v>
      </c>
    </row>
    <row r="66" spans="1:9">
      <c r="A66" s="4" t="str">
        <f>Data_Entry!A66</f>
        <v>ReaxFF</v>
      </c>
      <c r="B66" s="5" t="str">
        <f>Data_Entry!B66</f>
        <v>1020 K, 20 GPa</v>
      </c>
      <c r="C66" s="5" t="str">
        <f>Data_Entry!C66</f>
        <v>D_O</v>
      </c>
      <c r="D66" s="8">
        <f>Data_Entry!I66</f>
        <v>0.3094408534052</v>
      </c>
      <c r="E66" s="8" t="e">
        <f ca="1">Data_Entry!K66</f>
        <v>#NAME?</v>
      </c>
      <c r="F66" s="8" t="e">
        <f ca="1">Data_Entry!J66</f>
        <v>#NAME?</v>
      </c>
      <c r="G66" s="5">
        <f>Data_Entry!H66</f>
        <v>3</v>
      </c>
      <c r="H66" s="5" t="str">
        <f>Data_Entry!L66</f>
        <v>Å²/ps</v>
      </c>
      <c r="I66" s="18">
        <f>Data_Entry!D66</f>
        <v>0.31</v>
      </c>
    </row>
    <row r="67" spans="1:9">
      <c r="A67" s="4" t="str">
        <f>Data_Entry!A67</f>
        <v>ReaxFF</v>
      </c>
      <c r="B67" s="5" t="str">
        <f>Data_Entry!B67</f>
        <v>1020 K, 20 GPa</v>
      </c>
      <c r="C67" s="5" t="str">
        <f>Data_Entry!C67</f>
        <v>D_H</v>
      </c>
      <c r="D67" s="8">
        <f>Data_Entry!I67</f>
        <v>0.3094267681467</v>
      </c>
      <c r="E67" s="8" t="e">
        <f ca="1">Data_Entry!K67</f>
        <v>#NAME?</v>
      </c>
      <c r="F67" s="8" t="e">
        <f ca="1">Data_Entry!J67</f>
        <v>#NAME?</v>
      </c>
      <c r="G67" s="5">
        <f>Data_Entry!H67</f>
        <v>3</v>
      </c>
      <c r="H67" s="5" t="str">
        <f>Data_Entry!L67</f>
        <v>Å²/ps</v>
      </c>
      <c r="I67" s="18">
        <f>Data_Entry!D67</f>
        <v>0.31</v>
      </c>
    </row>
    <row r="68" spans="1:9">
      <c r="A68" s="4" t="str">
        <f>Data_Entry!A68</f>
        <v>ReaxFF</v>
      </c>
      <c r="B68" s="5" t="str">
        <f>Data_Entry!B68</f>
        <v>1020 K, 20 GPa</v>
      </c>
      <c r="C68" s="5" t="str">
        <f>Data_Entry!C68</f>
        <v>rho</v>
      </c>
      <c r="D68" s="8">
        <f>Data_Entry!I68</f>
        <v>1.8988637359040001</v>
      </c>
      <c r="E68" s="8" t="e">
        <f ca="1">Data_Entry!K68</f>
        <v>#NAME?</v>
      </c>
      <c r="F68" s="8" t="e">
        <f ca="1">Data_Entry!J68</f>
        <v>#NAME?</v>
      </c>
      <c r="G68" s="5">
        <f>Data_Entry!H68</f>
        <v>3</v>
      </c>
      <c r="H68" s="5" t="str">
        <f>Data_Entry!L68</f>
        <v>g/cm³</v>
      </c>
      <c r="I68" s="18">
        <f>Data_Entry!D68</f>
        <v>1.89</v>
      </c>
    </row>
    <row r="69" spans="1:9">
      <c r="A69" s="4" t="str">
        <f>Data_Entry!A69</f>
        <v>Lewis</v>
      </c>
      <c r="B69" s="5" t="str">
        <f>Data_Entry!B69</f>
        <v>1020 K, 20 GPa</v>
      </c>
      <c r="C69" s="5" t="str">
        <f>Data_Entry!C69</f>
        <v>D_O</v>
      </c>
      <c r="D69" s="8">
        <f>Data_Entry!I69</f>
        <v>0.36838688068370001</v>
      </c>
      <c r="E69" s="8" t="e">
        <f ca="1">Data_Entry!K69</f>
        <v>#NAME?</v>
      </c>
      <c r="F69" s="8" t="e">
        <f ca="1">Data_Entry!J69</f>
        <v>#NAME?</v>
      </c>
      <c r="G69" s="5">
        <f>Data_Entry!H69</f>
        <v>3</v>
      </c>
      <c r="H69" s="5" t="str">
        <f>Data_Entry!L69</f>
        <v>Å²/ps</v>
      </c>
      <c r="I69" s="18">
        <f>Data_Entry!D69</f>
        <v>0.69</v>
      </c>
    </row>
    <row r="70" spans="1:9">
      <c r="A70" s="4" t="str">
        <f>Data_Entry!A70</f>
        <v>Lewis</v>
      </c>
      <c r="B70" s="5" t="str">
        <f>Data_Entry!B70</f>
        <v>1020 K, 20 GPa</v>
      </c>
      <c r="C70" s="5" t="str">
        <f>Data_Entry!C70</f>
        <v>D_H</v>
      </c>
      <c r="D70" s="8">
        <f>Data_Entry!I70</f>
        <v>0.36843644477666665</v>
      </c>
      <c r="E70" s="8" t="e">
        <f ca="1">Data_Entry!K70</f>
        <v>#NAME?</v>
      </c>
      <c r="F70" s="8" t="e">
        <f ca="1">Data_Entry!J70</f>
        <v>#NAME?</v>
      </c>
      <c r="G70" s="5">
        <f>Data_Entry!H70</f>
        <v>3</v>
      </c>
      <c r="H70" s="5" t="str">
        <f>Data_Entry!L70</f>
        <v>Å²/ps</v>
      </c>
      <c r="I70" s="18">
        <f>Data_Entry!D70</f>
        <v>0.72</v>
      </c>
    </row>
    <row r="71" spans="1:9">
      <c r="A71" s="6" t="str">
        <f>Data_Entry!A71</f>
        <v>Lewis</v>
      </c>
      <c r="B71" s="7" t="str">
        <f>Data_Entry!B71</f>
        <v>1020 K, 20 GPa</v>
      </c>
      <c r="C71" s="7" t="str">
        <f>Data_Entry!C71</f>
        <v>rho</v>
      </c>
      <c r="D71" s="9">
        <f>Data_Entry!I71</f>
        <v>1.8318899806666666</v>
      </c>
      <c r="E71" s="9" t="e">
        <f ca="1">Data_Entry!K71</f>
        <v>#NAME?</v>
      </c>
      <c r="F71" s="9" t="e">
        <f ca="1">Data_Entry!J71</f>
        <v>#NAME?</v>
      </c>
      <c r="G71" s="7">
        <f>Data_Entry!H71</f>
        <v>3</v>
      </c>
      <c r="H71" s="7" t="str">
        <f>Data_Entry!L71</f>
        <v>g/cm³</v>
      </c>
      <c r="I71" s="19">
        <f>Data_Entry!D71</f>
        <v>1.66</v>
      </c>
    </row>
  </sheetData>
  <mergeCells count="1">
    <mergeCell ref="A1:I1"/>
  </mergeCells>
  <phoneticPr fontId="4" type="noConversion"/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8"/>
  <sheetViews>
    <sheetView workbookViewId="0"/>
  </sheetViews>
  <sheetFormatPr defaultRowHeight="14.25"/>
  <cols>
    <col min="1" max="1" width="18" customWidth="1"/>
    <col min="2" max="2" width="90" customWidth="1"/>
  </cols>
  <sheetData>
    <row r="1" spans="1:2" ht="15">
      <c r="A1" s="20" t="s">
        <v>45</v>
      </c>
      <c r="B1" s="21" t="s">
        <v>46</v>
      </c>
    </row>
    <row r="2" spans="1:2">
      <c r="A2" s="4" t="s">
        <v>47</v>
      </c>
      <c r="B2" s="16" t="s">
        <v>48</v>
      </c>
    </row>
    <row r="3" spans="1:2">
      <c r="A3" s="4" t="s">
        <v>49</v>
      </c>
      <c r="B3" s="16" t="s">
        <v>50</v>
      </c>
    </row>
    <row r="4" spans="1:2">
      <c r="A4" s="4" t="s">
        <v>51</v>
      </c>
      <c r="B4" s="16" t="s">
        <v>52</v>
      </c>
    </row>
    <row r="5" spans="1:2" ht="28.5">
      <c r="A5" s="4" t="s">
        <v>53</v>
      </c>
      <c r="B5" s="16" t="s">
        <v>54</v>
      </c>
    </row>
    <row r="6" spans="1:2">
      <c r="A6" s="4" t="s">
        <v>55</v>
      </c>
      <c r="B6" s="16" t="s">
        <v>56</v>
      </c>
    </row>
    <row r="7" spans="1:2">
      <c r="A7" s="4" t="s">
        <v>57</v>
      </c>
      <c r="B7" s="16" t="s">
        <v>58</v>
      </c>
    </row>
    <row r="8" spans="1:2">
      <c r="A8" s="6" t="s">
        <v>59</v>
      </c>
      <c r="B8" s="17" t="s">
        <v>60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Data_Entry</vt:lpstr>
      <vt:lpstr>Plot_Summary</vt:lpstr>
      <vt:lpstr>Notes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桢昊 周</cp:lastModifiedBy>
  <dcterms:created xsi:type="dcterms:W3CDTF">2026-07-05T00:54:14Z</dcterms:created>
  <dcterms:modified xsi:type="dcterms:W3CDTF">2026-07-09T06:46:41Z</dcterms:modified>
</cp:coreProperties>
</file>